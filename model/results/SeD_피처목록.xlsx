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범주요약" sheetId="2" state="visible" r:id="rId2"/>
    <sheet xmlns:r="http://schemas.openxmlformats.org/officeDocument/2006/relationships" name="범주구조" sheetId="3" state="visible" r:id="rId3"/>
    <sheet xmlns:r="http://schemas.openxmlformats.org/officeDocument/2006/relationships" name="선박피처" sheetId="4" state="visible" r:id="rId4"/>
    <sheet xmlns:r="http://schemas.openxmlformats.org/officeDocument/2006/relationships" name="PoolB_최종30" sheetId="5" state="visible" r:id="rId5"/>
    <sheet xmlns:r="http://schemas.openxmlformats.org/officeDocument/2006/relationships" name="일단위_MIL" sheetId="6" state="visible" r:id="rId6"/>
    <sheet xmlns:r="http://schemas.openxmlformats.org/officeDocument/2006/relationships" name="시간단위_L1" sheetId="7" state="visible" r:id="rId7"/>
  </sheets>
  <definedNames>
    <definedName name="_xlnm._FilterDatabase" localSheetId="3" hidden="1">'선박피처'!$A$1:$S$347</definedName>
    <definedName name="_xlnm._FilterDatabase" localSheetId="4" hidden="1">'PoolB_최종30'!$A$1:$I$31</definedName>
    <definedName name="_xlnm._FilterDatabase" localSheetId="5" hidden="1">'일단위_MIL'!$A$1:$H$102</definedName>
    <definedName name="_xlnm._FilterDatabase" localSheetId="6" hidden="1">'시간단위_L1'!$A$1:$E$93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sz val="10"/>
    </font>
    <font>
      <name val="Arial"/>
      <b val="1"/>
      <color rgb="001F4E78"/>
      <sz val="12"/>
    </font>
    <font>
      <name val="Arial"/>
      <b val="1"/>
      <color rgb="00FFFFFF"/>
    </font>
    <font>
      <name val="Arial"/>
      <b val="1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0" pivotButton="0" quotePrefix="0" xfId="0"/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9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44" customWidth="1" min="4" max="4"/>
    <col width="20" customWidth="1" min="5" max="5"/>
    <col width="14" customWidth="1" min="6" max="6"/>
  </cols>
  <sheetData>
    <row r="1">
      <c r="A1" s="1" t="inlineStr">
        <is>
          <t>SeD팀 과제 1 (조업형태 분류) 피처 카탈로그</t>
        </is>
      </c>
    </row>
    <row r="2">
      <c r="A2" s="2" t="inlineStr">
        <is>
          <t>작성 2026-10-27 · 코드 model/feature_taxonomy.py, make_feature_catalog.py · 모든 수치는 선박 단위 5-fold 교차검증(rfid_id 기준 분리) 결과</t>
        </is>
      </c>
    </row>
    <row r="3">
      <c r="A3" s="2" t="inlineStr">
        <is>
          <t>팀원 4명(지유·민성·나연·진우)의 피처 명세와 진행1 §6 가설(A~H)을 하나의 파이프라인(model/)으로 다시 구현한 피처 전체 목록입니다.</t>
        </is>
      </c>
    </row>
    <row r="5">
      <c r="A5" s="3" t="inlineStr">
        <is>
          <t>1. 왜 피처가 346개인가: 데이터 흐름</t>
        </is>
      </c>
      <c r="B5" s="4" t="n"/>
      <c r="C5" s="4" t="n"/>
      <c r="D5" s="4" t="n"/>
      <c r="E5" s="4" t="n"/>
      <c r="F5" s="4" t="n"/>
    </row>
    <row r="6">
      <c r="A6" s="5" t="inlineStr">
        <is>
          <t>단계</t>
        </is>
      </c>
      <c r="B6" s="5" t="inlineStr">
        <is>
          <t>1행의 단위</t>
        </is>
      </c>
      <c r="C6" s="5" t="inlineStr">
        <is>
          <t>피처 수</t>
        </is>
      </c>
      <c r="D6" s="5" t="inlineStr">
        <is>
          <t>어떻게 만드나</t>
        </is>
      </c>
      <c r="E6" s="5" t="inlineStr">
        <is>
          <t>코드</t>
        </is>
      </c>
      <c r="F6" s="5" t="inlineStr">
        <is>
          <t>시트</t>
        </is>
      </c>
    </row>
    <row r="7">
      <c r="A7" s="6" t="inlineStr">
        <is>
          <t>L1 시간</t>
        </is>
      </c>
      <c r="B7" s="6" t="inlineStr">
        <is>
          <t>선박·날짜·시간대</t>
        </is>
      </c>
      <c r="C7" s="6" t="n">
        <v>92</v>
      </c>
      <c r="D7" s="7" t="inlineStr">
        <is>
          <t>1시간 항적(MultiLineString) 하나에서 직접 계산. 튐 제거·평활 등 정제 후</t>
        </is>
      </c>
      <c r="E7" s="6" t="inlineStr">
        <is>
          <t>fe_hourly.py</t>
        </is>
      </c>
      <c r="F7" s="6" t="inlineStr">
        <is>
          <t>시간단위_L1</t>
        </is>
      </c>
    </row>
    <row r="8">
      <c r="A8" s="6" t="inlineStr">
        <is>
          <t>L2 선박-일</t>
        </is>
      </c>
      <c r="B8" s="6" t="inlineStr">
        <is>
          <t>선박·날짜</t>
        </is>
      </c>
      <c r="C8" s="6" t="n">
        <v>101</v>
      </c>
      <c r="D8" s="7" t="inlineStr">
        <is>
          <t>하루의 시간대들을 요약 + '이동 시간대'만 평균낸 mv_* 44개</t>
        </is>
      </c>
      <c r="E8" s="6" t="inlineStr">
        <is>
          <t>fe_aggregate.py</t>
        </is>
      </c>
      <c r="F8" s="6" t="inlineStr">
        <is>
          <t>일단위_MIL</t>
        </is>
      </c>
    </row>
    <row r="9">
      <c r="A9" s="6" t="inlineStr">
        <is>
          <t>L3 선박</t>
        </is>
      </c>
      <c r="B9" s="6" t="inlineStr">
        <is>
          <t>선박</t>
        </is>
      </c>
      <c r="C9" s="6" t="n">
        <v>346</v>
      </c>
      <c r="D9" s="7" t="inlineStr">
        <is>
          <t>출어일 값들의 평균·중앙값·표준편차(+일부 90% 분위) + 조업 시간대 풀링 + 선박 전용 → 분류 모델 입력</t>
        </is>
      </c>
      <c r="E9" s="6" t="inlineStr">
        <is>
          <t>fe_aggregate.py</t>
        </is>
      </c>
      <c r="F9" s="6" t="inlineStr">
        <is>
          <t>선박피처</t>
        </is>
      </c>
    </row>
    <row r="10">
      <c r="A10" s="2" t="inlineStr">
        <is>
          <t>→ 서로 다른 '기본 피처'는 134종뿐. 같은 기본 피처에 통계(평균/중앙값/표준편차…)를 여러 개 붙이면서 346개가 됨.</t>
        </is>
      </c>
    </row>
    <row r="11">
      <c r="A11" s="2" t="inlineStr">
        <is>
          <t>→ 같은 기본 피처에서 나온 '형제 피처'는 선박피처 시트의 '기본 피처' 열로 필터해서 함께 볼 수 있습니다.</t>
        </is>
      </c>
    </row>
    <row r="13">
      <c r="A13" s="3" t="inlineStr">
        <is>
          <t>2. Pool A / Pool B: 위치 피처를 넣느냐 빼느냐</t>
        </is>
      </c>
      <c r="B13" s="4" t="n"/>
      <c r="C13" s="4" t="n"/>
      <c r="D13" s="4" t="n"/>
      <c r="E13" s="4" t="n"/>
      <c r="F13" s="4" t="n"/>
    </row>
    <row r="14">
      <c r="A14" s="5" t="inlineStr">
        <is>
          <t>구분</t>
        </is>
      </c>
      <c r="B14" s="5" t="inlineStr">
        <is>
          <t>포함 피처</t>
        </is>
      </c>
      <c r="C14" s="5" t="inlineStr">
        <is>
          <t>후보 수</t>
        </is>
      </c>
      <c r="D14" s="5" t="inlineStr">
        <is>
          <t>목적</t>
        </is>
      </c>
      <c r="E14" s="5" t="inlineStr">
        <is>
          <t>선정 결과(k*)</t>
        </is>
      </c>
      <c r="F14" s="5" t="inlineStr">
        <is>
          <t>최고 macro-F1</t>
        </is>
      </c>
    </row>
    <row r="15">
      <c r="A15" s="6" t="inlineStr">
        <is>
          <t>Pool A</t>
        </is>
      </c>
      <c r="B15" s="6" t="inlineStr">
        <is>
          <t>위치 7개 제외</t>
        </is>
      </c>
      <c r="C15" s="6" t="n">
        <v>339</v>
      </c>
      <c r="D15" s="7" t="inlineStr">
        <is>
          <t>순수 조업 '행동'만으로 판별 → 처음 보는 해역의 선박에도 통하는 모델</t>
        </is>
      </c>
      <c r="E15" s="6" t="inlineStr">
        <is>
          <t>중복 제거 후 전부 (250개)</t>
        </is>
      </c>
      <c r="F15" s="6" t="inlineStr">
        <is>
          <t>0.523 (앙상블+보정)</t>
        </is>
      </c>
    </row>
    <row r="16">
      <c r="A16" s="6" t="inlineStr">
        <is>
          <t>Pool B</t>
        </is>
      </c>
      <c r="B16" s="6" t="inlineStr">
        <is>
          <t>위치 포함</t>
        </is>
      </c>
      <c r="C16" s="6" t="n">
        <v>346</v>
      </c>
      <c r="D16" s="7" t="inlineStr">
        <is>
          <t>대회 점수 극대화 (어느 바다에서 조업하는지도 활용)</t>
        </is>
      </c>
      <c r="E16" s="6" t="inlineStr">
        <is>
          <t>상위 30개</t>
        </is>
      </c>
      <c r="F16" s="6" t="inlineStr">
        <is>
          <t>0.540 (앙상블)</t>
        </is>
      </c>
    </row>
    <row r="17">
      <c r="A17" s="2" t="inlineStr">
        <is>
          <t>왜 나누나: 위치를 넣으면 F1이 오르지만, 모델이 '조업 방식'이 아니라 '어느 지역 배인가'를 외우는 shortcut 위험이 있음 (HANDOFF §3.3). 그래서 두 모델을 항상 같이 보고.</t>
        </is>
      </c>
    </row>
    <row r="18">
      <c r="A18" s="2" t="inlineStr">
        <is>
          <t>위치 피처 7개: lon_c, lat_c, home_lon, home_lat, home_port_km, fishing_lon, fishing_lat  (선박피처 시트 '위치(LOC)' = O)</t>
        </is>
      </c>
    </row>
    <row r="19">
      <c r="A19" s="2" t="inlineStr">
        <is>
          <t>Pool A가 피처를 줄이지 않은 이유: 위치를 빼면 신호가 약한 피처 여러 개에 얇게 퍼져 있어, 줄일수록 1 표준오차 넘게 성능이 떨어짐 (k=60 0.447 &lt; 전체 0.461).</t>
        </is>
      </c>
    </row>
    <row r="21">
      <c r="A21" s="3" t="inlineStr">
        <is>
          <t>3. 분류 체계: 대분류 12 → 세부 구분 → 기본 피처 → 선박 피처</t>
        </is>
      </c>
      <c r="B21" s="4" t="n"/>
      <c r="C21" s="4" t="n"/>
      <c r="D21" s="4" t="n"/>
      <c r="E21" s="4" t="n"/>
      <c r="F21" s="4" t="n"/>
    </row>
    <row r="22">
      <c r="A22" s="2" t="inlineStr">
        <is>
          <t>대분류 12개, 세부 구분 37개. 범주는 사람이 읽기 위한 이름표이고 모델에는 쓰이지 않음 (피처 하나하나를 따로 순위 매김).</t>
        </is>
      </c>
    </row>
    <row r="23">
      <c r="A23" s="2" t="inlineStr">
        <is>
          <t>출처: 팀원 명세의 그룹(민성 공간/방향/속도/시간, 나연 v2 사전 그룹, 지유 ①~⑦) + 진행1 §6 가설 그룹을 합쳐 정리. 전체 구조는 '범주구조' 시트.</t>
        </is>
      </c>
    </row>
    <row r="24">
      <c r="A24" s="5" t="inlineStr">
        <is>
          <t>가설 표시</t>
        </is>
      </c>
      <c r="B24" s="5" t="inlineStr">
        <is>
          <t>뜻 (진행1 §6 자망 vs 연안복합)</t>
        </is>
      </c>
      <c r="C24" s="5" t="inlineStr"/>
      <c r="D24" s="5" t="inlineStr"/>
      <c r="E24" s="5" t="inlineStr"/>
      <c r="F24" s="5" t="inlineStr"/>
    </row>
    <row r="25">
      <c r="A25" s="6" t="inlineStr">
        <is>
          <t>A</t>
        </is>
      </c>
      <c r="B25" s="6" t="inlineStr">
        <is>
          <t>재방문: 자망은 어구를 놓고 떠났다가 같은 자리로 돌아와 회수</t>
        </is>
      </c>
    </row>
    <row r="26">
      <c r="A26" s="6" t="inlineStr">
        <is>
          <t>B</t>
        </is>
      </c>
      <c r="B26" s="6" t="inlineStr">
        <is>
          <t>직선 투망: 그물을 수백 m~수 km 직선으로 펼침</t>
        </is>
      </c>
    </row>
    <row r="27">
      <c r="A27" s="6" t="inlineStr">
        <is>
          <t>C</t>
        </is>
      </c>
      <c r="B27" s="6" t="inlineStr">
        <is>
          <t>속도 구조: 양망 시 긴 극저속, 업종별 속도 조합</t>
        </is>
      </c>
    </row>
    <row r="28">
      <c r="A28" s="6" t="inlineStr">
        <is>
          <t>D</t>
        </is>
      </c>
      <c r="B28" s="6" t="inlineStr">
        <is>
          <t>선회: 루프·톱니형 재이동</t>
        </is>
      </c>
    </row>
    <row r="29">
      <c r="A29" s="6" t="inlineStr">
        <is>
          <t>E</t>
        </is>
      </c>
      <c r="B29" s="6" t="inlineStr">
        <is>
          <t>하루 리듬: 투망-휴식-양망 블록 구조, 조업 시각</t>
        </is>
      </c>
    </row>
    <row r="30">
      <c r="A30" s="6" t="inlineStr">
        <is>
          <t>G</t>
        </is>
      </c>
      <c r="B30" s="6" t="inlineStr">
        <is>
          <t>선박 내 이질성: 날마다 다른 어구 사용 (날짜 간 표준편차, 출어일 유형)</t>
        </is>
      </c>
    </row>
    <row r="31">
      <c r="A31" s="6" t="inlineStr">
        <is>
          <t>H</t>
        </is>
      </c>
      <c r="B31" s="6" t="inlineStr">
        <is>
          <t>계절: 월별 조업 패턴</t>
        </is>
      </c>
    </row>
    <row r="32">
      <c r="A32" s="6" t="inlineStr">
        <is>
          <t>(F)</t>
        </is>
      </c>
      <c r="B32" s="6" t="inlineStr">
        <is>
          <t>지역 → 위치(LOC) 피처로 별도 관리</t>
        </is>
      </c>
    </row>
    <row r="34">
      <c r="A34" s="3" t="inlineStr">
        <is>
          <t>4. 피처 이름 읽는 법</t>
        </is>
      </c>
      <c r="B34" s="4" t="n"/>
      <c r="C34" s="4" t="n"/>
      <c r="D34" s="4" t="n"/>
      <c r="E34" s="4" t="n"/>
      <c r="F34" s="4" t="n"/>
    </row>
    <row r="35">
      <c r="A35" s="5" t="inlineStr">
        <is>
          <t>표기</t>
        </is>
      </c>
      <c r="B35" s="5" t="inlineStr">
        <is>
          <t>뜻</t>
        </is>
      </c>
      <c r="C35" s="5" t="inlineStr">
        <is>
          <t>예시</t>
        </is>
      </c>
      <c r="D35" s="5" t="inlineStr"/>
      <c r="E35" s="5" t="inlineStr"/>
      <c r="F35" s="5" t="inlineStr"/>
    </row>
    <row r="36">
      <c r="A36" s="6" t="inlineStr">
        <is>
          <t>mv_XXX_mean / _median / _std</t>
        </is>
      </c>
      <c r="B36" s="7" t="inlineStr">
        <is>
          <t>출어일마다 '이동 시간대'의 XXX 평균을 구한 뒤 → 출어일들의 평균 / 중앙값 / 표준편차(날마다 얼마나 다른가)</t>
        </is>
      </c>
      <c r="C36" s="6" t="inlineStr">
        <is>
          <t>mv_turn_mean_median</t>
        </is>
      </c>
    </row>
    <row r="37">
      <c r="A37" s="6" t="inlineStr">
        <is>
          <t>XXX_mean / _median / _std</t>
        </is>
      </c>
      <c r="B37" s="7" t="inlineStr">
        <is>
          <t>하루 단위 값 XXX 의 출어일 평균 / 중앙값 / 표준편차</t>
        </is>
      </c>
      <c r="C37" s="6" t="inlineStr">
        <is>
          <t>longest_streak_mean</t>
        </is>
      </c>
    </row>
    <row r="38">
      <c r="A38" s="6" t="inlineStr">
        <is>
          <t>XXX_p90</t>
        </is>
      </c>
      <c r="B38" s="7" t="inlineStr">
        <is>
          <t>출어일 값의 90% 분위 (많이 나간 날 기준)</t>
        </is>
      </c>
      <c r="C38" s="6" t="inlineStr">
        <is>
          <t>dist_day_km_p90</t>
        </is>
      </c>
    </row>
    <row r="39">
      <c r="A39" s="6" t="inlineStr">
        <is>
          <t>fh_XXX_q50 / _q90</t>
        </is>
      </c>
      <c r="B39" s="7" t="inlineStr">
        <is>
          <t>조업 시간대(이동 중 &amp; 항해 아님) 1시간 값들의 선박별 중앙값 / 90% 분위 (민성 C)</t>
        </is>
      </c>
      <c r="C39" s="6" t="inlineStr">
        <is>
          <t>fh_pca_elong_q90</t>
        </is>
      </c>
    </row>
    <row r="40">
      <c r="A40" s="6" t="inlineStr">
        <is>
          <t>ks_</t>
        </is>
      </c>
      <c r="B40" s="7" t="inlineStr">
        <is>
          <t>5개 점 간격(k-step)으로 잰 지터 강건 버전 (민성)</t>
        </is>
      </c>
      <c r="C40" s="6" t="inlineStr">
        <is>
          <t>ks_speed_med</t>
        </is>
      </c>
    </row>
    <row r="41">
      <c r="A41" s="6" t="inlineStr">
        <is>
          <t>_sea</t>
        </is>
      </c>
      <c r="B41" s="7" t="inlineStr">
        <is>
          <t>항구 정박 시간을 뺀 나머지 시간 기준 비율 (민성 H4)</t>
        </is>
      </c>
      <c r="C41" s="6" t="inlineStr">
        <is>
          <t>drift_share_sea</t>
        </is>
      </c>
    </row>
    <row r="42">
      <c r="A42" s="6" t="inlineStr">
        <is>
          <t>_share / _ratio / _frac</t>
        </is>
      </c>
      <c r="B42" s="7" t="inlineStr">
        <is>
          <t>비율 (0~1)</t>
        </is>
      </c>
      <c r="C42" s="6" t="inlineStr">
        <is>
          <t>port_share</t>
        </is>
      </c>
    </row>
    <row r="43">
      <c r="A43" s="6" t="inlineStr">
        <is>
          <t>_m / _km / _kn / _h</t>
        </is>
      </c>
      <c r="B43" s="7" t="inlineStr">
        <is>
          <t>단위: 미터 / 킬로미터 / 노트 / 시간</t>
        </is>
      </c>
      <c r="C43" s="6" t="inlineStr">
        <is>
          <t>home_km_max</t>
        </is>
      </c>
    </row>
    <row r="45">
      <c r="A45" s="3" t="inlineStr">
        <is>
          <t>5. 피처 선정 방식 (모두 fold 안의 학습 데이터로만 계산 → 검증 선박 정보 누수 없음)</t>
        </is>
      </c>
      <c r="B45" s="4" t="n"/>
      <c r="C45" s="4" t="n"/>
      <c r="D45" s="4" t="n"/>
      <c r="E45" s="4" t="n"/>
      <c r="F45" s="4" t="n"/>
    </row>
    <row r="46">
      <c r="A46" s="5" t="inlineStr">
        <is>
          <t>단계</t>
        </is>
      </c>
      <c r="B46" s="5" t="inlineStr">
        <is>
          <t>무엇을</t>
        </is>
      </c>
      <c r="C46" s="5" t="inlineStr">
        <is>
          <t>왜</t>
        </is>
      </c>
      <c r="D46" s="5" t="inlineStr"/>
      <c r="E46" s="5" t="inlineStr"/>
      <c r="F46" s="5" t="inlineStr"/>
    </row>
    <row r="47">
      <c r="A47" s="6" t="inlineStr">
        <is>
          <t>① 사전 필터</t>
        </is>
      </c>
      <c r="B47" s="7" t="inlineStr">
        <is>
          <t>결측 60% 초과·상수 피처 제거</t>
        </is>
      </c>
      <c r="C47" s="7" t="inlineStr">
        <is>
          <t>쓸 수 없는 피처 정리 (라벨 미사용)</t>
        </is>
      </c>
    </row>
    <row r="48">
      <c r="A48" s="6" t="inlineStr">
        <is>
          <t>② 중요도 3종</t>
        </is>
      </c>
      <c r="B48" s="7" t="inlineStr">
        <is>
          <t>SHAP 40% + 순열 중요도 40% + 상호정보량(MI) 20% 의 순위 평균</t>
        </is>
      </c>
      <c r="C48" s="7" t="inlineStr">
        <is>
          <t>SHAP=모델 기여, 순열=빼면 얼마나 떨어지나, MI=모델과 무관한 단독 신호. 한 지표의 편향 상쇄</t>
        </is>
      </c>
    </row>
    <row r="49">
      <c r="A49" s="6" t="inlineStr">
        <is>
          <t>③ 노이즈 검정</t>
        </is>
      </c>
      <c r="B49" s="7" t="inlineStr">
        <is>
          <t>값을 무작위로 섞은 가짜 피처와 비교 (Boruta 방식)</t>
        </is>
      </c>
      <c r="C49" s="7" t="inlineStr">
        <is>
          <t>팀 규칙 '노이즈 기준선보다 나은가'를 피처마다 확인</t>
        </is>
      </c>
    </row>
    <row r="50">
      <c r="A50" s="6" t="inlineStr">
        <is>
          <t>④ 중복 제거</t>
        </is>
      </c>
      <c r="B50" s="7" t="inlineStr">
        <is>
          <t>순위 순서대로 Spearman |ρ|≥0.95 인 쌍은 상위 하나만</t>
        </is>
      </c>
      <c r="C50" s="7" t="inlineStr">
        <is>
          <t>같은 정보 반복 방지 → '중복 시 대표(B)' 열</t>
        </is>
      </c>
    </row>
    <row r="51">
      <c r="A51" s="6" t="inlineStr">
        <is>
          <t>⑤ k 결정</t>
        </is>
      </c>
      <c r="B51" s="7" t="inlineStr">
        <is>
          <t>k 5~150·전체 스윕, 최고점 − 1 표준오차 안의 가장 작은 k (1-SE rule)</t>
        </is>
      </c>
      <c r="C51" s="7" t="inlineStr">
        <is>
          <t>차이가 통계적으로 없으면 단순한 쪽 선택</t>
        </is>
      </c>
    </row>
    <row r="52">
      <c r="A52" s="2" t="inlineStr">
        <is>
          <t>선정빈도 = 5개 fold 중 그 fold 의 상위 k* 안에 든 비율. fold마다 학습 데이터로 따로 뽑아서 구성이 조금씩 다름 → 빈도가 높을수록 안정적인 피처.</t>
        </is>
      </c>
    </row>
    <row r="54">
      <c r="A54" s="3" t="inlineStr">
        <is>
          <t>6. 시트 안내</t>
        </is>
      </c>
      <c r="B54" s="4" t="n"/>
      <c r="C54" s="4" t="n"/>
      <c r="D54" s="4" t="n"/>
      <c r="E54" s="4" t="n"/>
      <c r="F54" s="4" t="n"/>
    </row>
    <row r="55">
      <c r="A55" s="5" t="inlineStr">
        <is>
          <t>시트</t>
        </is>
      </c>
      <c r="B55" s="5" t="inlineStr">
        <is>
          <t>내용</t>
        </is>
      </c>
      <c r="C55" s="5" t="inlineStr"/>
      <c r="D55" s="5" t="inlineStr"/>
      <c r="E55" s="5" t="inlineStr"/>
      <c r="F55" s="5" t="inlineStr"/>
    </row>
    <row r="56">
      <c r="A56" s="6" t="inlineStr">
        <is>
          <t>범주요약</t>
        </is>
      </c>
      <c r="B56" s="7" t="inlineStr">
        <is>
          <t>대분류별 피처 수 (전체 / Pool A 후보 / Pool B 후보 / B 최종)</t>
        </is>
      </c>
    </row>
    <row r="57">
      <c r="A57" s="6" t="inlineStr">
        <is>
          <t>범주구조</t>
        </is>
      </c>
      <c r="B57" s="7" t="inlineStr">
        <is>
          <t>대분류 → 세부 구분 → 무엇을 재나 → 기본 피처 → 해당 선박 피처 목록 (세부 구분별 1행)</t>
        </is>
      </c>
    </row>
    <row r="58">
      <c r="A58" s="6" t="inlineStr">
        <is>
          <t>선박피처</t>
        </is>
      </c>
      <c r="B58" s="7" t="inlineStr">
        <is>
          <t>분류 모델 입력 피처 346개 전체. 노란 행 = Pool B 최종 30개. 필터로 범주·기본 피처별 보기</t>
        </is>
      </c>
    </row>
    <row r="59">
      <c r="A59" s="6" t="inlineStr">
        <is>
          <t>PoolB_최종30</t>
        </is>
      </c>
      <c r="B59" s="7" t="inlineStr">
        <is>
          <t>Pool B 에서 최종 선정된 30개만 순위 순으로 한 줄 설명과 함께</t>
        </is>
      </c>
    </row>
    <row r="60">
      <c r="A60" s="6" t="inlineStr">
        <is>
          <t>일단위_MIL</t>
        </is>
      </c>
      <c r="B60" s="7" t="inlineStr">
        <is>
          <t>하루 단위 피처 101개 (MIL 모델 입력, Pool A 는 위치 8개 제외 93개)</t>
        </is>
      </c>
    </row>
    <row r="61">
      <c r="A61" s="6" t="inlineStr">
        <is>
          <t>시간단위_L1</t>
        </is>
      </c>
      <c r="B61" s="7" t="inlineStr">
        <is>
          <t>1시간 원천 피처 92개와 출처</t>
        </is>
      </c>
    </row>
    <row r="63">
      <c r="A63" s="3" t="inlineStr">
        <is>
          <t>7. 선박피처 시트 열 설명</t>
        </is>
      </c>
      <c r="B63" s="4" t="n"/>
      <c r="C63" s="4" t="n"/>
      <c r="D63" s="4" t="n"/>
      <c r="E63" s="4" t="n"/>
      <c r="F63" s="4" t="n"/>
    </row>
    <row r="64">
      <c r="A64" s="5" t="inlineStr">
        <is>
          <t>열</t>
        </is>
      </c>
      <c r="B64" s="5" t="inlineStr">
        <is>
          <t>설명</t>
        </is>
      </c>
      <c r="C64" s="5" t="inlineStr"/>
      <c r="D64" s="5" t="inlineStr"/>
      <c r="E64" s="5" t="inlineStr"/>
      <c r="F64" s="5" t="inlineStr"/>
    </row>
    <row r="65">
      <c r="A65" s="6" t="inlineStr">
        <is>
          <t>대분류 / 세부 구분</t>
        </is>
      </c>
      <c r="B65" s="7" t="inlineStr">
        <is>
          <t>분류체계 (3번 참고)</t>
        </is>
      </c>
    </row>
    <row r="66">
      <c r="A66" s="6" t="inlineStr">
        <is>
          <t>기본 피처</t>
        </is>
      </c>
      <c r="B66" s="7" t="inlineStr">
        <is>
          <t>이 피처의 원천이 되는 시간·일·선박 단위 값</t>
        </is>
      </c>
    </row>
    <row r="67">
      <c r="A67" s="6" t="inlineStr">
        <is>
          <t>만드는 방법</t>
        </is>
      </c>
      <c r="B67" s="7" t="inlineStr">
        <is>
          <t>기본 피처에서 선박 피처로 바꾸는 집계 방식</t>
        </is>
      </c>
    </row>
    <row r="68">
      <c r="A68" s="6" t="inlineStr">
        <is>
          <t>계산 단위</t>
        </is>
      </c>
      <c r="B68" s="7" t="inlineStr">
        <is>
          <t>L1→L2→L3 = 시간→하루→선박 순으로 집계</t>
        </is>
      </c>
    </row>
    <row r="69">
      <c r="A69" s="6" t="inlineStr">
        <is>
          <t>출처</t>
        </is>
      </c>
      <c r="B69" s="7" t="inlineStr">
        <is>
          <t>명세를 낸 팀원 또는 가설 (여러 명이 같은 피처를 냈으면 함께 표기, 공통 = 전원)</t>
        </is>
      </c>
    </row>
    <row r="70">
      <c r="A70" s="6" t="inlineStr">
        <is>
          <t>가설</t>
        </is>
      </c>
      <c r="B70" s="7" t="inlineStr">
        <is>
          <t>진행1 §6 가설 그룹 (3번 표)</t>
        </is>
      </c>
    </row>
    <row r="71">
      <c r="A71" s="6" t="inlineStr">
        <is>
          <t>Pool A/B 후보</t>
        </is>
      </c>
      <c r="B71" s="7" t="inlineStr">
        <is>
          <t>각 풀의 후보에 들어가는지</t>
        </is>
      </c>
    </row>
    <row r="72">
      <c r="A72" s="6" t="inlineStr">
        <is>
          <t>Pool B 최종30</t>
        </is>
      </c>
      <c r="B72" s="7" t="inlineStr">
        <is>
          <t>Pool B 모델에 최종 사용된 상위 30개 (전 fold 종합 순위 기준)</t>
        </is>
      </c>
    </row>
    <row r="73">
      <c r="A73" s="6" t="inlineStr">
        <is>
          <t>A/B 선정빈도</t>
        </is>
      </c>
      <c r="B73" s="7" t="inlineStr">
        <is>
          <t>5개 fold 중 상위 k*(A 250, B 30) 안에 든 비율</t>
        </is>
      </c>
    </row>
    <row r="74">
      <c r="A74" s="6" t="inlineStr">
        <is>
          <t>A/B 순위</t>
        </is>
      </c>
      <c r="B74" s="7" t="inlineStr">
        <is>
          <t>전 fold 종합 순위 (1이 최상위)</t>
        </is>
      </c>
    </row>
    <row r="75">
      <c r="A75" s="6" t="inlineStr">
        <is>
          <t>중복 시 대표(B)</t>
        </is>
      </c>
      <c r="B75" s="7" t="inlineStr">
        <is>
          <t>Spearman |ρ|≥0.95 로 이 피처 대신 쓰인 피처 (빈칸 = 중복 아님)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5" t="inlineStr">
        <is>
          <t>대분류</t>
        </is>
      </c>
      <c r="B1" s="5" t="inlineStr">
        <is>
          <t>세부 구분 수</t>
        </is>
      </c>
      <c r="C1" s="5" t="inlineStr">
        <is>
          <t>선박 피처 수</t>
        </is>
      </c>
      <c r="D1" s="5" t="inlineStr">
        <is>
          <t>Pool A 후보</t>
        </is>
      </c>
      <c r="E1" s="5" t="inlineStr">
        <is>
          <t>Pool B 후보</t>
        </is>
      </c>
      <c r="F1" s="5" t="inlineStr">
        <is>
          <t>Pool B 최종30</t>
        </is>
      </c>
    </row>
    <row r="2">
      <c r="A2" s="6" t="inlineStr">
        <is>
          <t>속도 구조(C)</t>
        </is>
      </c>
      <c r="B2" s="6" t="n">
        <v>7</v>
      </c>
      <c r="C2" s="6">
        <f>COUNTIF(선박피처!$C$2:$C$347,A2)</f>
        <v/>
      </c>
      <c r="D2" s="6">
        <f>COUNTIFS(선박피처!$C$2:$C$347,A2,선박피처!$L$2:$L$347,"O")</f>
        <v/>
      </c>
      <c r="E2" s="6">
        <f>COUNTIFS(선박피처!$C$2:$C$347,A2,선박피처!$M$2:$M$347,"O")</f>
        <v/>
      </c>
      <c r="F2" s="6">
        <f>COUNTIFS(선박피처!$C$2:$C$347,A2,선박피처!$N$2:$N$347,"O")</f>
        <v/>
      </c>
    </row>
    <row r="3">
      <c r="A3" s="6" t="inlineStr">
        <is>
          <t>방향·회전(D)</t>
        </is>
      </c>
      <c r="B3" s="6" t="n">
        <v>4</v>
      </c>
      <c r="C3" s="6">
        <f>COUNTIF(선박피처!$C$2:$C$347,A3)</f>
        <v/>
      </c>
      <c r="D3" s="6">
        <f>COUNTIFS(선박피처!$C$2:$C$347,A3,선박피처!$L$2:$L$347,"O")</f>
        <v/>
      </c>
      <c r="E3" s="6">
        <f>COUNTIFS(선박피처!$C$2:$C$347,A3,선박피처!$M$2:$M$347,"O")</f>
        <v/>
      </c>
      <c r="F3" s="6">
        <f>COUNTIFS(선박피처!$C$2:$C$347,A3,선박피처!$N$2:$N$347,"O")</f>
        <v/>
      </c>
    </row>
    <row r="4">
      <c r="A4" s="6" t="inlineStr">
        <is>
          <t>경로형태·직선투망(B)</t>
        </is>
      </c>
      <c r="B4" s="6" t="n">
        <v>3</v>
      </c>
      <c r="C4" s="6">
        <f>COUNTIF(선박피처!$C$2:$C$347,A4)</f>
        <v/>
      </c>
      <c r="D4" s="6">
        <f>COUNTIFS(선박피처!$C$2:$C$347,A4,선박피처!$L$2:$L$347,"O")</f>
        <v/>
      </c>
      <c r="E4" s="6">
        <f>COUNTIFS(선박피처!$C$2:$C$347,A4,선박피처!$M$2:$M$347,"O")</f>
        <v/>
      </c>
      <c r="F4" s="6">
        <f>COUNTIFS(선박피처!$C$2:$C$347,A4,선박피처!$N$2:$N$347,"O")</f>
        <v/>
      </c>
    </row>
    <row r="5">
      <c r="A5" s="6" t="inlineStr">
        <is>
          <t>이동량·공간범위</t>
        </is>
      </c>
      <c r="B5" s="6" t="n">
        <v>6</v>
      </c>
      <c r="C5" s="6">
        <f>COUNTIF(선박피처!$C$2:$C$347,A5)</f>
        <v/>
      </c>
      <c r="D5" s="6">
        <f>COUNTIFS(선박피처!$C$2:$C$347,A5,선박피처!$L$2:$L$347,"O")</f>
        <v/>
      </c>
      <c r="E5" s="6">
        <f>COUNTIFS(선박피처!$C$2:$C$347,A5,선박피처!$M$2:$M$347,"O")</f>
        <v/>
      </c>
      <c r="F5" s="6">
        <f>COUNTIFS(선박피처!$C$2:$C$347,A5,선박피처!$N$2:$N$347,"O")</f>
        <v/>
      </c>
    </row>
    <row r="6">
      <c r="A6" s="6" t="inlineStr">
        <is>
          <t>시간 사용·항차</t>
        </is>
      </c>
      <c r="B6" s="6" t="n">
        <v>4</v>
      </c>
      <c r="C6" s="6">
        <f>COUNTIF(선박피처!$C$2:$C$347,A6)</f>
        <v/>
      </c>
      <c r="D6" s="6">
        <f>COUNTIFS(선박피처!$C$2:$C$347,A6,선박피처!$L$2:$L$347,"O")</f>
        <v/>
      </c>
      <c r="E6" s="6">
        <f>COUNTIFS(선박피처!$C$2:$C$347,A6,선박피처!$M$2:$M$347,"O")</f>
        <v/>
      </c>
      <c r="F6" s="6">
        <f>COUNTIFS(선박피처!$C$2:$C$347,A6,선박피처!$N$2:$N$347,"O")</f>
        <v/>
      </c>
    </row>
    <row r="7">
      <c r="A7" s="6" t="inlineStr">
        <is>
          <t>하루 리듬·시각(E)</t>
        </is>
      </c>
      <c r="B7" s="6" t="n">
        <v>4</v>
      </c>
      <c r="C7" s="6">
        <f>COUNTIF(선박피처!$C$2:$C$347,A7)</f>
        <v/>
      </c>
      <c r="D7" s="6">
        <f>COUNTIFS(선박피처!$C$2:$C$347,A7,선박피처!$L$2:$L$347,"O")</f>
        <v/>
      </c>
      <c r="E7" s="6">
        <f>COUNTIFS(선박피처!$C$2:$C$347,A7,선박피처!$M$2:$M$347,"O")</f>
        <v/>
      </c>
      <c r="F7" s="6">
        <f>COUNTIFS(선박피처!$C$2:$C$347,A7,선박피처!$N$2:$N$347,"O")</f>
        <v/>
      </c>
    </row>
    <row r="8">
      <c r="A8" s="6" t="inlineStr">
        <is>
          <t>재방문·어장반복(A)</t>
        </is>
      </c>
      <c r="B8" s="6" t="n">
        <v>2</v>
      </c>
      <c r="C8" s="6">
        <f>COUNTIF(선박피처!$C$2:$C$347,A8)</f>
        <v/>
      </c>
      <c r="D8" s="6">
        <f>COUNTIFS(선박피처!$C$2:$C$347,A8,선박피처!$L$2:$L$347,"O")</f>
        <v/>
      </c>
      <c r="E8" s="6">
        <f>COUNTIFS(선박피처!$C$2:$C$347,A8,선박피처!$M$2:$M$347,"O")</f>
        <v/>
      </c>
      <c r="F8" s="6">
        <f>COUNTIFS(선박피처!$C$2:$C$347,A8,선박피처!$N$2:$N$347,"O")</f>
        <v/>
      </c>
    </row>
    <row r="9">
      <c r="A9" s="6" t="inlineStr">
        <is>
          <t>체류점</t>
        </is>
      </c>
      <c r="B9" s="6" t="n">
        <v>1</v>
      </c>
      <c r="C9" s="6">
        <f>COUNTIF(선박피처!$C$2:$C$347,A9)</f>
        <v/>
      </c>
      <c r="D9" s="6">
        <f>COUNTIFS(선박피처!$C$2:$C$347,A9,선박피처!$L$2:$L$347,"O")</f>
        <v/>
      </c>
      <c r="E9" s="6">
        <f>COUNTIFS(선박피처!$C$2:$C$347,A9,선박피처!$M$2:$M$347,"O")</f>
        <v/>
      </c>
      <c r="F9" s="6">
        <f>COUNTIFS(선박피처!$C$2:$C$347,A9,선박피처!$N$2:$N$347,"O")</f>
        <v/>
      </c>
    </row>
    <row r="10">
      <c r="A10" s="6" t="inlineStr">
        <is>
          <t>품질·기록량</t>
        </is>
      </c>
      <c r="B10" s="6" t="n">
        <v>3</v>
      </c>
      <c r="C10" s="6">
        <f>COUNTIF(선박피처!$C$2:$C$347,A10)</f>
        <v/>
      </c>
      <c r="D10" s="6">
        <f>COUNTIFS(선박피처!$C$2:$C$347,A10,선박피처!$L$2:$L$347,"O")</f>
        <v/>
      </c>
      <c r="E10" s="6">
        <f>COUNTIFS(선박피처!$C$2:$C$347,A10,선박피처!$M$2:$M$347,"O")</f>
        <v/>
      </c>
      <c r="F10" s="6">
        <f>COUNTIFS(선박피처!$C$2:$C$347,A10,선박피처!$N$2:$N$347,"O")</f>
        <v/>
      </c>
    </row>
    <row r="11">
      <c r="A11" s="6" t="inlineStr">
        <is>
          <t>일 유형·이질성(G)</t>
        </is>
      </c>
      <c r="B11" s="6" t="n">
        <v>1</v>
      </c>
      <c r="C11" s="6">
        <f>COUNTIF(선박피처!$C$2:$C$347,A11)</f>
        <v/>
      </c>
      <c r="D11" s="6">
        <f>COUNTIFS(선박피처!$C$2:$C$347,A11,선박피처!$L$2:$L$347,"O")</f>
        <v/>
      </c>
      <c r="E11" s="6">
        <f>COUNTIFS(선박피처!$C$2:$C$347,A11,선박피처!$M$2:$M$347,"O")</f>
        <v/>
      </c>
      <c r="F11" s="6">
        <f>COUNTIFS(선박피처!$C$2:$C$347,A11,선박피처!$N$2:$N$347,"O")</f>
        <v/>
      </c>
    </row>
    <row r="12">
      <c r="A12" s="6" t="inlineStr">
        <is>
          <t>계절(H)</t>
        </is>
      </c>
      <c r="B12" s="6" t="n">
        <v>1</v>
      </c>
      <c r="C12" s="6">
        <f>COUNTIF(선박피처!$C$2:$C$347,A12)</f>
        <v/>
      </c>
      <c r="D12" s="6">
        <f>COUNTIFS(선박피처!$C$2:$C$347,A12,선박피처!$L$2:$L$347,"O")</f>
        <v/>
      </c>
      <c r="E12" s="6">
        <f>COUNTIFS(선박피처!$C$2:$C$347,A12,선박피처!$M$2:$M$347,"O")</f>
        <v/>
      </c>
      <c r="F12" s="6">
        <f>COUNTIFS(선박피처!$C$2:$C$347,A12,선박피처!$N$2:$N$347,"O")</f>
        <v/>
      </c>
    </row>
    <row r="13">
      <c r="A13" s="6" t="inlineStr">
        <is>
          <t>위치(LOC)</t>
        </is>
      </c>
      <c r="B13" s="6" t="n">
        <v>1</v>
      </c>
      <c r="C13" s="6">
        <f>COUNTIF(선박피처!$C$2:$C$347,A13)</f>
        <v/>
      </c>
      <c r="D13" s="6">
        <f>COUNTIFS(선박피처!$C$2:$C$347,A13,선박피처!$L$2:$L$347,"O")</f>
        <v/>
      </c>
      <c r="E13" s="6">
        <f>COUNTIFS(선박피처!$C$2:$C$347,A13,선박피처!$M$2:$M$347,"O")</f>
        <v/>
      </c>
      <c r="F13" s="6">
        <f>COUNTIFS(선박피처!$C$2:$C$347,A13,선박피처!$N$2:$N$347,"O")</f>
        <v/>
      </c>
    </row>
    <row r="14">
      <c r="A14" s="8" t="inlineStr">
        <is>
          <t>합계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</row>
    <row r="16">
      <c r="A16" s="9" t="inlineStr">
        <is>
          <t>※ 숫자는 '선박피처' 시트를 COUNTIF 로 세는 수식 (선박피처를 수정하면 자동 갱신)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18" customWidth="1" min="4" max="4"/>
    <col width="46" customWidth="1" min="5" max="5"/>
    <col width="10" customWidth="1" min="6" max="6"/>
    <col width="10" customWidth="1" min="7" max="7"/>
    <col width="70" customWidth="1" min="8" max="8"/>
    <col width="40" customWidth="1" min="9" max="9"/>
  </cols>
  <sheetData>
    <row r="1">
      <c r="A1" s="5" t="inlineStr">
        <is>
          <t>대분류</t>
        </is>
      </c>
      <c r="B1" s="5" t="inlineStr">
        <is>
          <t>세부 구분</t>
        </is>
      </c>
      <c r="C1" s="5" t="inlineStr">
        <is>
          <t>무엇을 재나</t>
        </is>
      </c>
      <c r="D1" s="5" t="inlineStr">
        <is>
          <t>출처</t>
        </is>
      </c>
      <c r="E1" s="5" t="inlineStr">
        <is>
          <t>기본 피처 (원천 값)</t>
        </is>
      </c>
      <c r="F1" s="5" t="inlineStr">
        <is>
          <t>선박 피처 수</t>
        </is>
      </c>
      <c r="G1" s="5" t="inlineStr">
        <is>
          <t>B 최종30 포함</t>
        </is>
      </c>
      <c r="H1" s="5" t="inlineStr">
        <is>
          <t>선박 피처 목록</t>
        </is>
      </c>
      <c r="I1" s="5" t="inlineStr">
        <is>
          <t>B 최종30 포함 피처</t>
        </is>
      </c>
    </row>
    <row r="2">
      <c r="A2" s="10" t="inlineStr">
        <is>
          <t>속도 구조(C)</t>
        </is>
      </c>
      <c r="B2" s="10" t="inlineStr">
        <is>
          <t>10분 구간 속도</t>
        </is>
      </c>
      <c r="C2" s="11" t="inlineStr">
        <is>
          <t>평활 경로 10분 간격 추정 속도(kn)의 통계</t>
        </is>
      </c>
      <c r="D2" s="10" t="inlineStr">
        <is>
          <t>나연, 진우</t>
        </is>
      </c>
      <c r="E2" s="11" t="inlineStr">
        <is>
          <t>sp_mean, sp_std, sp_p50, sp_p90, sp_max, sp_change_mean</t>
        </is>
      </c>
      <c r="F2" s="10">
        <f>COUNTIFS(선박피처!$C$2:$C$347,A2,선박피처!$D$2:$D$347,B2)</f>
        <v/>
      </c>
      <c r="G2" s="10">
        <f>COUNTIFS(선박피처!$C$2:$C$347,A2,선박피처!$D$2:$D$347,B2,선박피처!$N$2:$N$347,"O")</f>
        <v/>
      </c>
      <c r="H2" s="11" t="inlineStr">
        <is>
          <t>mv_sp_mean_mean, mv_sp_p90_mean, mv_sp_std_mean, mv_sp_change_mean_mean, mv_sp_mean_median, mv_sp_p90_median, mv_sp_std_median, mv_sp_change_mean_median, mv_sp_mean_std, mv_sp_p90_std, mv_sp_std_std, mv_sp_change_mean_std, fh_sp_p50_q50, fh_sp_p90_q50, fh_sp_p50_q90, fh_sp_p90_q90</t>
        </is>
      </c>
      <c r="I2" s="11" t="inlineStr"/>
    </row>
    <row r="3">
      <c r="A3" s="10" t="inlineStr">
        <is>
          <t>속도 구조(C)</t>
        </is>
      </c>
      <c r="B3" s="10" t="inlineStr">
        <is>
          <t>속도 구간 비율</t>
        </is>
      </c>
      <c r="C3" s="11" t="inlineStr">
        <is>
          <t>정지/저속/중속/고속 구간이 차지하는 비율</t>
        </is>
      </c>
      <c r="D3" s="10" t="inlineStr">
        <is>
          <t>나연, 진우</t>
        </is>
      </c>
      <c r="E3" s="11" t="inlineStr">
        <is>
          <t>frac_stop, frac_slow, frac_mid, frac_fast, frac_stop_mean</t>
        </is>
      </c>
      <c r="F3" s="10">
        <f>COUNTIFS(선박피처!$C$2:$C$347,A3,선박피처!$D$2:$D$347,B3)</f>
        <v/>
      </c>
      <c r="G3" s="10">
        <f>COUNTIFS(선박피처!$C$2:$C$347,A3,선박피처!$D$2:$D$347,B3,선박피처!$N$2:$N$347,"O")</f>
        <v/>
      </c>
      <c r="H3" s="11" t="inlineStr">
        <is>
          <t>mv_frac_slow_mean, mv_frac_mid_mean, mv_frac_fast_mean, mv_frac_slow_median, mv_frac_mid_median, mv_frac_fast_median, mv_frac_slow_std, mv_frac_mid_std, mv_frac_fast_std, fh_frac_slow_q50, fh_frac_mid_q50, fh_frac_slow_q90, fh_frac_mid_q90</t>
        </is>
      </c>
      <c r="I3" s="11" t="inlineStr"/>
    </row>
    <row r="4">
      <c r="A4" s="10" t="inlineStr">
        <is>
          <t>속도 구조(C)</t>
        </is>
      </c>
      <c r="B4" s="10" t="inlineStr">
        <is>
          <t>5-step 강건 속도</t>
        </is>
      </c>
      <c r="C4" s="11" t="inlineStr">
        <is>
          <t>5개 점 간격으로 잰 속도: GPS 지터에 덜 흔들림 (민성 검증)</t>
        </is>
      </c>
      <c r="D4" s="10" t="inlineStr">
        <is>
          <t>민성</t>
        </is>
      </c>
      <c r="E4" s="11" t="inlineStr">
        <is>
          <t>ks_speed_mean, ks_speed_med, ks_speed_p90, ks_frac_stat, ks_frac_drift, ks_frac_fish, ks_frac_transit</t>
        </is>
      </c>
      <c r="F4" s="10">
        <f>COUNTIFS(선박피처!$C$2:$C$347,A4,선박피처!$D$2:$D$347,B4)</f>
        <v/>
      </c>
      <c r="G4" s="10">
        <f>COUNTIFS(선박피처!$C$2:$C$347,A4,선박피처!$D$2:$D$347,B4,선박피처!$N$2:$N$347,"O")</f>
        <v/>
      </c>
      <c r="H4" s="11" t="inlineStr">
        <is>
          <t>mv_ks_speed_med_mean, mv_ks_speed_p90_mean, mv_ks_speed_med_median, mv_ks_speed_p90_median, mv_ks_speed_med_std, mv_ks_speed_p90_std, fh_ks_speed_med_q50, fh_ks_speed_p90_q50, fh_ks_speed_med_q90, fh_ks_speed_p90_q90</t>
        </is>
      </c>
      <c r="I4" s="11" t="inlineStr"/>
    </row>
    <row r="5">
      <c r="A5" s="10" t="inlineStr">
        <is>
          <t>속도 구조(C)</t>
        </is>
      </c>
      <c r="B5" s="10" t="inlineStr">
        <is>
          <t>저속 연속·속도 다양성</t>
        </is>
      </c>
      <c r="C5" s="11" t="inlineStr">
        <is>
          <t>양망 같은 긴 저속 구간, 여러 속도를 섞어 쓰는 정도</t>
        </is>
      </c>
      <c r="D5" s="10" t="inlineStr">
        <is>
          <t>가설 C</t>
        </is>
      </c>
      <c r="E5" s="11" t="inlineStr">
        <is>
          <t>slow_run_max_min, speed_entropy</t>
        </is>
      </c>
      <c r="F5" s="10">
        <f>COUNTIFS(선박피처!$C$2:$C$347,A5,선박피처!$D$2:$D$347,B5)</f>
        <v/>
      </c>
      <c r="G5" s="10">
        <f>COUNTIFS(선박피처!$C$2:$C$347,A5,선박피처!$D$2:$D$347,B5,선박피처!$N$2:$N$347,"O")</f>
        <v/>
      </c>
      <c r="H5" s="11" t="inlineStr">
        <is>
          <t>mv_slow_run_max_min_mean, mv_speed_entropy_mean, mv_slow_run_max_min_median, mv_speed_entropy_median, mv_slow_run_max_min_std, mv_speed_entropy_std, fh_slow_run_max_min_q50, fh_speed_entropy_q50, fh_slow_run_max_min_q90, fh_speed_entropy_q90</t>
        </is>
      </c>
      <c r="I5" s="11" t="inlineStr"/>
    </row>
    <row r="6">
      <c r="A6" s="10" t="inlineStr">
        <is>
          <t>속도 구조(C)</t>
        </is>
      </c>
      <c r="B6" s="10" t="inlineStr">
        <is>
          <t>점 간 step 크기</t>
        </is>
      </c>
      <c r="C6" s="11" t="inlineStr">
        <is>
          <t>연속 GPS 점 사이 거리의 크기와 변동</t>
        </is>
      </c>
      <c r="D6" s="10" t="inlineStr">
        <is>
          <t>민성, 지유, 진우</t>
        </is>
      </c>
      <c r="E6" s="11" t="inlineStr">
        <is>
          <t>step_mean_m, step_med_m, step_std_m, step_max_m, step_max_raw_m, step_cv, movement_per_point</t>
        </is>
      </c>
      <c r="F6" s="10">
        <f>COUNTIFS(선박피처!$C$2:$C$347,A6,선박피처!$D$2:$D$347,B6)</f>
        <v/>
      </c>
      <c r="G6" s="10">
        <f>COUNTIFS(선박피처!$C$2:$C$347,A6,선박피처!$D$2:$D$347,B6,선박피처!$N$2:$N$347,"O")</f>
        <v/>
      </c>
      <c r="H6" s="11" t="inlineStr">
        <is>
          <t>mv_step_cv_mean, mv_step_cv_median, mv_step_cv_std</t>
        </is>
      </c>
      <c r="I6" s="11" t="inlineStr"/>
    </row>
    <row r="7">
      <c r="A7" s="10" t="inlineStr">
        <is>
          <t>속도 구조(C)</t>
        </is>
      </c>
      <c r="B7" s="10" t="inlineStr">
        <is>
          <t>이동 리듬(스펙트럼)</t>
        </is>
      </c>
      <c r="C7" s="11" t="inlineStr">
        <is>
          <t>step 길이 신호의 주파수 분석 (진우)</t>
        </is>
      </c>
      <c r="D7" s="10" t="inlineStr">
        <is>
          <t>진우</t>
        </is>
      </c>
      <c r="E7" s="11" t="inlineStr">
        <is>
          <t>spec_entropy, lowfreq_ratio</t>
        </is>
      </c>
      <c r="F7" s="10">
        <f>COUNTIFS(선박피처!$C$2:$C$347,A7,선박피처!$D$2:$D$347,B7)</f>
        <v/>
      </c>
      <c r="G7" s="10">
        <f>COUNTIFS(선박피처!$C$2:$C$347,A7,선박피처!$D$2:$D$347,B7,선박피처!$N$2:$N$347,"O")</f>
        <v/>
      </c>
      <c r="H7" s="11" t="inlineStr">
        <is>
          <t>mv_spec_entropy_mean, mv_lowfreq_ratio_mean, mv_spec_entropy_median, mv_lowfreq_ratio_median, mv_spec_entropy_std, mv_lowfreq_ratio_std</t>
        </is>
      </c>
      <c r="I7" s="11" t="inlineStr"/>
    </row>
    <row r="8">
      <c r="A8" s="10" t="inlineStr">
        <is>
          <t>속도 구조(C)</t>
        </is>
      </c>
      <c r="B8" s="10" t="inlineStr">
        <is>
          <t>시간대 간 점프</t>
        </is>
      </c>
      <c r="C8" s="11" t="inlineStr">
        <is>
          <t>앞 시간 끝점↔다음 시간 시작점 거리</t>
        </is>
      </c>
      <c r="D8" s="10" t="inlineStr">
        <is>
          <t>민성</t>
        </is>
      </c>
      <c r="E8" s="11" t="inlineStr">
        <is>
          <t>inter_hour_jump_med_km</t>
        </is>
      </c>
      <c r="F8" s="10">
        <f>COUNTIFS(선박피처!$C$2:$C$347,A8,선박피처!$D$2:$D$347,B8)</f>
        <v/>
      </c>
      <c r="G8" s="10">
        <f>COUNTIFS(선박피처!$C$2:$C$347,A8,선박피처!$D$2:$D$347,B8,선박피처!$N$2:$N$347,"O")</f>
        <v/>
      </c>
      <c r="H8" s="11" t="inlineStr">
        <is>
          <t>inter_hour_jump_med_km_mean, inter_hour_jump_med_km_median, inter_hour_jump_med_km_std</t>
        </is>
      </c>
      <c r="I8" s="11" t="inlineStr">
        <is>
          <t>inter_hour_jump_med_km_median</t>
        </is>
      </c>
    </row>
    <row r="9">
      <c r="A9" s="6" t="inlineStr">
        <is>
          <t>방향·회전(D)</t>
        </is>
      </c>
      <c r="B9" s="6" t="inlineStr">
        <is>
          <t>방향 일관성</t>
        </is>
      </c>
      <c r="C9" s="7" t="inlineStr">
        <is>
          <t>한 방향으로 가는지, 사방으로 흩어지는지</t>
        </is>
      </c>
      <c r="D9" s="6" t="inlineStr">
        <is>
          <t>나연, 민성, 지유, 진우</t>
        </is>
      </c>
      <c r="E9" s="7" t="inlineStr">
        <is>
          <t>heading_R, bearing_std, ks_heading_R, drift_heading_R_q50</t>
        </is>
      </c>
      <c r="F9" s="6">
        <f>COUNTIFS(선박피처!$C$2:$C$347,A9,선박피처!$D$2:$D$347,B9)</f>
        <v/>
      </c>
      <c r="G9" s="6">
        <f>COUNTIFS(선박피처!$C$2:$C$347,A9,선박피처!$D$2:$D$347,B9,선박피처!$N$2:$N$347,"O")</f>
        <v/>
      </c>
      <c r="H9" s="7" t="inlineStr">
        <is>
          <t>mv_heading_R_mean, mv_bearing_std_mean, mv_ks_heading_R_mean, mv_heading_R_median, mv_bearing_std_median, mv_ks_heading_R_median, mv_heading_R_std, mv_bearing_std_std, mv_ks_heading_R_std, fh_ks_heading_R_q50, fh_ks_heading_R_q90, drift_heading_R_q50</t>
        </is>
      </c>
      <c r="I9" s="7" t="inlineStr"/>
    </row>
    <row r="10">
      <c r="A10" s="6" t="inlineStr">
        <is>
          <t>방향·회전(D)</t>
        </is>
      </c>
      <c r="B10" s="6" t="inlineStr">
        <is>
          <t>회전각</t>
        </is>
      </c>
      <c r="C10" s="7" t="inlineStr">
        <is>
          <t>진행 방향이 꺾이는 각도</t>
        </is>
      </c>
      <c r="D10" s="6" t="inlineStr">
        <is>
          <t>공통, 민성, 지유</t>
        </is>
      </c>
      <c r="E10" s="7" t="inlineStr">
        <is>
          <t>turn_mean, turn_std, turn_max, ks_turn_med</t>
        </is>
      </c>
      <c r="F10" s="6">
        <f>COUNTIFS(선박피처!$C$2:$C$347,A10,선박피처!$D$2:$D$347,B10)</f>
        <v/>
      </c>
      <c r="G10" s="6">
        <f>COUNTIFS(선박피처!$C$2:$C$347,A10,선박피처!$D$2:$D$347,B10,선박피처!$N$2:$N$347,"O")</f>
        <v/>
      </c>
      <c r="H10" s="7" t="inlineStr">
        <is>
          <t>mv_turn_mean_mean, mv_turn_std_mean, mv_ks_turn_med_mean, mv_turn_mean_median, mv_turn_std_median, mv_ks_turn_med_median, mv_turn_mean_std, mv_turn_std_std, mv_ks_turn_med_std, fh_ks_turn_med_q50, fh_turn_mean_q50, fh_ks_turn_med_q90, fh_turn_mean_q90</t>
        </is>
      </c>
      <c r="I10" s="7" t="inlineStr">
        <is>
          <t>fh_turn_mean_q90</t>
        </is>
      </c>
    </row>
    <row r="11">
      <c r="A11" s="6" t="inlineStr">
        <is>
          <t>방향·회전(D)</t>
        </is>
      </c>
      <c r="B11" s="6" t="inlineStr">
        <is>
          <t>급선회·U턴</t>
        </is>
      </c>
      <c r="C11" s="7" t="inlineStr">
        <is>
          <t>크게 꺾거나 되돌아가는 횟수/비율</t>
        </is>
      </c>
      <c r="D11" s="6" t="inlineStr">
        <is>
          <t>나연, 민성, 지유, 진우</t>
        </is>
      </c>
      <c r="E11" s="7" t="inlineStr">
        <is>
          <t>n_turn45, n_turn90, n_uturn, large_turn_ratio, uturn_ratio, turn90_per_km</t>
        </is>
      </c>
      <c r="F11" s="6">
        <f>COUNTIFS(선박피처!$C$2:$C$347,A11,선박피처!$D$2:$D$347,B11)</f>
        <v/>
      </c>
      <c r="G11" s="6">
        <f>COUNTIFS(선박피처!$C$2:$C$347,A11,선박피처!$D$2:$D$347,B11,선박피처!$N$2:$N$347,"O")</f>
        <v/>
      </c>
      <c r="H11" s="7" t="inlineStr">
        <is>
          <t>mv_uturn_ratio_mean, mv_turn90_per_km_mean, mv_large_turn_ratio_mean, mv_uturn_ratio_median, mv_turn90_per_km_median, mv_large_turn_ratio_median, mv_uturn_ratio_std, mv_turn90_per_km_std, mv_large_turn_ratio_std</t>
        </is>
      </c>
      <c r="I11" s="7" t="inlineStr"/>
    </row>
    <row r="12">
      <c r="A12" s="6" t="inlineStr">
        <is>
          <t>방향·회전(D)</t>
        </is>
      </c>
      <c r="B12" s="6" t="inlineStr">
        <is>
          <t>루프</t>
        </is>
      </c>
      <c r="C12" s="7" t="inlineStr">
        <is>
          <t>누적 회전으로 센 제자리 맴돌기 (가설 D)</t>
        </is>
      </c>
      <c r="D12" s="6" t="inlineStr">
        <is>
          <t>가설 D</t>
        </is>
      </c>
      <c r="E12" s="7" t="inlineStr">
        <is>
          <t>loops</t>
        </is>
      </c>
      <c r="F12" s="6">
        <f>COUNTIFS(선박피처!$C$2:$C$347,A12,선박피처!$D$2:$D$347,B12)</f>
        <v/>
      </c>
      <c r="G12" s="6">
        <f>COUNTIFS(선박피처!$C$2:$C$347,A12,선박피처!$D$2:$D$347,B12,선박피처!$N$2:$N$347,"O")</f>
        <v/>
      </c>
      <c r="H12" s="7" t="inlineStr">
        <is>
          <t>mv_loops_mean, mv_loops_median, mv_loops_std</t>
        </is>
      </c>
      <c r="I12" s="7" t="inlineStr"/>
    </row>
    <row r="13">
      <c r="A13" s="10" t="inlineStr">
        <is>
          <t>경로형태·직선투망(B)</t>
        </is>
      </c>
      <c r="B13" s="10" t="inlineStr">
        <is>
          <t>직진도·구불거림</t>
        </is>
      </c>
      <c r="C13" s="11" t="inlineStr">
        <is>
          <t>얼마나 곧게 가는가</t>
        </is>
      </c>
      <c r="D13" s="10" t="inlineStr">
        <is>
          <t>가설 B, 공통, 지유</t>
        </is>
      </c>
      <c r="E13" s="11" t="inlineStr">
        <is>
          <t>straightness, day_straightness, seg_sinuosity_mean</t>
        </is>
      </c>
      <c r="F13" s="10">
        <f>COUNTIFS(선박피처!$C$2:$C$347,A13,선박피처!$D$2:$D$347,B13)</f>
        <v/>
      </c>
      <c r="G13" s="10">
        <f>COUNTIFS(선박피처!$C$2:$C$347,A13,선박피처!$D$2:$D$347,B13,선박피처!$N$2:$N$347,"O")</f>
        <v/>
      </c>
      <c r="H13" s="11" t="inlineStr">
        <is>
          <t>day_straightness_mean, mv_straightness_mean, mv_seg_sinuosity_mean_mean, day_straightness_median, mv_straightness_median, mv_seg_sinuosity_mean_median, day_straightness_std, mv_straightness_std, mv_seg_sinuosity_mean_std, fh_straightness_q50, fh_straightness_q90</t>
        </is>
      </c>
      <c r="I13" s="11" t="inlineStr">
        <is>
          <t>mv_seg_sinuosity_mean_median</t>
        </is>
      </c>
    </row>
    <row r="14">
      <c r="A14" s="10" t="inlineStr">
        <is>
          <t>경로형태·직선투망(B)</t>
        </is>
      </c>
      <c r="B14" s="10" t="inlineStr">
        <is>
          <t>경로 반복도</t>
        </is>
      </c>
      <c r="C14" s="11" t="inlineStr">
        <is>
          <t>좁은 범위 안을 얼마나 오가는가</t>
        </is>
      </c>
      <c r="D14" s="10" t="inlineStr">
        <is>
          <t>나연</t>
        </is>
      </c>
      <c r="E14" s="11" t="inlineStr">
        <is>
          <t>path_over_diag, path_over_rg</t>
        </is>
      </c>
      <c r="F14" s="10">
        <f>COUNTIFS(선박피처!$C$2:$C$347,A14,선박피처!$D$2:$D$347,B14)</f>
        <v/>
      </c>
      <c r="G14" s="10">
        <f>COUNTIFS(선박피처!$C$2:$C$347,A14,선박피처!$D$2:$D$347,B14,선박피처!$N$2:$N$347,"O")</f>
        <v/>
      </c>
      <c r="H14" s="11" t="inlineStr">
        <is>
          <t>mv_path_over_rg_mean, mv_path_over_diag_mean, mv_path_over_rg_median, mv_path_over_diag_median, mv_path_over_rg_std, mv_path_over_diag_std, fh_path_over_rg_q50, fh_path_over_rg_q90</t>
        </is>
      </c>
      <c r="I14" s="11" t="inlineStr"/>
    </row>
    <row r="15">
      <c r="A15" s="10" t="inlineStr">
        <is>
          <t>경로형태·직선투망(B)</t>
        </is>
      </c>
      <c r="B15" s="10" t="inlineStr">
        <is>
          <t>직선 투망 형상</t>
        </is>
      </c>
      <c r="C15" s="11" t="inlineStr">
        <is>
          <t>그물을 직선으로 펼치는 투망 패턴 (가설 B)</t>
        </is>
      </c>
      <c r="D15" s="10" t="inlineStr">
        <is>
          <t>가설 B, 나연, 민성</t>
        </is>
      </c>
      <c r="E15" s="11" t="inlineStr">
        <is>
          <t>pca_elong, ks_straight_max_m, bbox_aspect</t>
        </is>
      </c>
      <c r="F15" s="10">
        <f>COUNTIFS(선박피처!$C$2:$C$347,A15,선박피처!$D$2:$D$347,B15)</f>
        <v/>
      </c>
      <c r="G15" s="10">
        <f>COUNTIFS(선박피처!$C$2:$C$347,A15,선박피처!$D$2:$D$347,B15,선박피처!$N$2:$N$347,"O")</f>
        <v/>
      </c>
      <c r="H15" s="11" t="inlineStr">
        <is>
          <t>mv_bbox_aspect_mean, mv_pca_elong_mean, mv_ks_straight_max_m_mean, mv_bbox_aspect_median, mv_pca_elong_median, mv_ks_straight_max_m_median, mv_bbox_aspect_std, mv_pca_elong_std, mv_ks_straight_max_m_std, fh_ks_straight_max_m_q50, fh_pca_elong_q50, fh_ks_straight_max_m_q90, fh_pca_elong_q90</t>
        </is>
      </c>
      <c r="I15" s="11" t="inlineStr">
        <is>
          <t>mv_pca_elong_median, mv_ks_straight_max_m_std, fh_pca_elong_q50, fh_pca_elong_q90</t>
        </is>
      </c>
    </row>
    <row r="16">
      <c r="A16" s="6" t="inlineStr">
        <is>
          <t>이동량·공간범위</t>
        </is>
      </c>
      <c r="B16" s="6" t="inlineStr">
        <is>
          <t>이동거리</t>
        </is>
      </c>
      <c r="C16" s="7" t="inlineStr">
        <is>
          <t>얼마나 많이 움직였나</t>
        </is>
      </c>
      <c r="D16" s="6" t="inlineStr">
        <is>
          <t>나연, 지유, 진우</t>
        </is>
      </c>
      <c r="E16" s="7" t="inlineStr">
        <is>
          <t>dist_m, dist_pts_m, dist_raw_m, dist_day_km, dist_raw_day_km</t>
        </is>
      </c>
      <c r="F16" s="6">
        <f>COUNTIFS(선박피처!$C$2:$C$347,A16,선박피처!$D$2:$D$347,B16)</f>
        <v/>
      </c>
      <c r="G16" s="6">
        <f>COUNTIFS(선박피처!$C$2:$C$347,A16,선박피처!$D$2:$D$347,B16,선박피처!$N$2:$N$347,"O")</f>
        <v/>
      </c>
      <c r="H16" s="7" t="inlineStr">
        <is>
          <t>dist_day_km_mean, dist_day_km_median, dist_day_km_std, dist_day_km_p90, fh_dist_m_q50, fh_dist_m_q90</t>
        </is>
      </c>
      <c r="I16" s="7" t="inlineStr">
        <is>
          <t>dist_day_km_std</t>
        </is>
      </c>
    </row>
    <row r="17">
      <c r="A17" s="6" t="inlineStr">
        <is>
          <t>이동량·공간범위</t>
        </is>
      </c>
      <c r="B17" s="6" t="inlineStr">
        <is>
          <t>변위·이격</t>
        </is>
      </c>
      <c r="C17" s="7" t="inlineStr">
        <is>
          <t>출발점에서 얼마나 멀어졌나</t>
        </is>
      </c>
      <c r="D17" s="6" t="inlineStr">
        <is>
          <t>공통, 나연, 민성, 지유</t>
        </is>
      </c>
      <c r="E17" s="7" t="inlineStr">
        <is>
          <t>net_disp_m, max_from_start_m, near_zero_disp, day_net_disp_km, day_range_q95_km</t>
        </is>
      </c>
      <c r="F17" s="6">
        <f>COUNTIFS(선박피처!$C$2:$C$347,A17,선박피처!$D$2:$D$347,B17)</f>
        <v/>
      </c>
      <c r="G17" s="6">
        <f>COUNTIFS(선박피처!$C$2:$C$347,A17,선박피처!$D$2:$D$347,B17,선박피처!$N$2:$N$347,"O")</f>
        <v/>
      </c>
      <c r="H17" s="7" t="inlineStr">
        <is>
          <t>day_net_disp_km_mean, day_range_q95_km_mean, day_net_disp_km_median, day_range_q95_km_median, day_net_disp_km_std, day_range_q95_km_std, day_range_q95_km_p90</t>
        </is>
      </c>
      <c r="I17" s="7" t="inlineStr"/>
    </row>
    <row r="18">
      <c r="A18" s="6" t="inlineStr">
        <is>
          <t>이동량·공간범위</t>
        </is>
      </c>
      <c r="B18" s="6" t="inlineStr">
        <is>
          <t>활동 범위(1시간)</t>
        </is>
      </c>
      <c r="C18" s="7" t="inlineStr">
        <is>
          <t>1시간 동안 쓴 공간의 크기</t>
        </is>
      </c>
      <c r="D18" s="6" t="inlineStr">
        <is>
          <t>나연, 민성, 지유, 진우</t>
        </is>
      </c>
      <c r="E18" s="7" t="inlineStr">
        <is>
          <t>bbox_w_m, bbox_h_m, bbox_diag_m, bbox_area_km2, rg_m, rg_med_m, max_radius_m, hull_area_m2, smooth_diag_m</t>
        </is>
      </c>
      <c r="F18" s="6">
        <f>COUNTIFS(선박피처!$C$2:$C$347,A18,선박피처!$D$2:$D$347,B18)</f>
        <v/>
      </c>
      <c r="G18" s="6">
        <f>COUNTIFS(선박피처!$C$2:$C$347,A18,선박피처!$D$2:$D$347,B18,선박피처!$N$2:$N$347,"O")</f>
        <v/>
      </c>
      <c r="H18" s="7" t="inlineStr">
        <is>
          <t>mv_rg_m_mean, mv_rg_med_m_mean, mv_bbox_diag_m_mean, mv_hull_area_m2_mean, mv_rg_m_median, mv_rg_med_m_median, mv_bbox_diag_m_median, mv_hull_area_m2_median, mv_rg_m_std, mv_rg_med_m_std, mv_bbox_diag_m_std, mv_hull_area_m2_std, fh_rg_med_m_q50, fh_rg_med_m_q90</t>
        </is>
      </c>
      <c r="I18" s="7" t="inlineStr"/>
    </row>
    <row r="19">
      <c r="A19" s="6" t="inlineStr">
        <is>
          <t>이동량·공간범위</t>
        </is>
      </c>
      <c r="B19" s="6" t="inlineStr">
        <is>
          <t>활동 범위(하루)</t>
        </is>
      </c>
      <c r="C19" s="7" t="inlineStr">
        <is>
          <t>하루 동안 시간대 중심들이 퍼진 크기</t>
        </is>
      </c>
      <c r="D19" s="6" t="inlineStr">
        <is>
          <t>나연</t>
        </is>
      </c>
      <c r="E19" s="7" t="inlineStr">
        <is>
          <t>day_rg_km, day_bbox_diag_km</t>
        </is>
      </c>
      <c r="F19" s="6">
        <f>COUNTIFS(선박피처!$C$2:$C$347,A19,선박피처!$D$2:$D$347,B19)</f>
        <v/>
      </c>
      <c r="G19" s="6">
        <f>COUNTIFS(선박피처!$C$2:$C$347,A19,선박피처!$D$2:$D$347,B19,선박피처!$N$2:$N$347,"O")</f>
        <v/>
      </c>
      <c r="H19" s="7" t="inlineStr">
        <is>
          <t>day_rg_km_mean, day_bbox_diag_km_mean, day_rg_km_median, day_bbox_diag_km_median, day_rg_km_std, day_bbox_diag_km_std</t>
        </is>
      </c>
      <c r="I19" s="7" t="inlineStr"/>
    </row>
    <row r="20">
      <c r="A20" s="6" t="inlineStr">
        <is>
          <t>이동량·공간범위</t>
        </is>
      </c>
      <c r="B20" s="6" t="inlineStr">
        <is>
          <t>조업 해역 크기(선박)</t>
        </is>
      </c>
      <c r="C20" s="7" t="inlineStr">
        <is>
          <t>6개월간 조업 해역의 넓이·퍼짐 (위치 아님, 크기)</t>
        </is>
      </c>
      <c r="D20" s="6" t="inlineStr">
        <is>
          <t>나연, 민성</t>
        </is>
      </c>
      <c r="E20" s="7" t="inlineStr">
        <is>
          <t>area_range_km, fishing_area_radius</t>
        </is>
      </c>
      <c r="F20" s="6">
        <f>COUNTIFS(선박피처!$C$2:$C$347,A20,선박피처!$D$2:$D$347,B20)</f>
        <v/>
      </c>
      <c r="G20" s="6">
        <f>COUNTIFS(선박피처!$C$2:$C$347,A20,선박피처!$D$2:$D$347,B20,선박피처!$N$2:$N$347,"O")</f>
        <v/>
      </c>
      <c r="H20" s="7" t="inlineStr">
        <is>
          <t>area_range_km, fishing_area_radius</t>
        </is>
      </c>
      <c r="I20" s="7" t="inlineStr">
        <is>
          <t>area_range_km</t>
        </is>
      </c>
    </row>
    <row r="21">
      <c r="A21" s="6" t="inlineStr">
        <is>
          <t>이동량·공간범위</t>
        </is>
      </c>
      <c r="B21" s="6" t="inlineStr">
        <is>
          <t>모항·항구 거리</t>
        </is>
      </c>
      <c r="C21" s="7" t="inlineStr">
        <is>
          <t>모항/항구에서 얼마나 멀리 나가나</t>
        </is>
      </c>
      <c r="D21" s="6" t="inlineStr">
        <is>
          <t>나연, 민성</t>
        </is>
      </c>
      <c r="E21" s="7" t="inlineStr">
        <is>
          <t>home_km_max, home_km_mean, home_km_start, home_km_end, port_km_mean, trip_max_dist_q50</t>
        </is>
      </c>
      <c r="F21" s="6">
        <f>COUNTIFS(선박피처!$C$2:$C$347,A21,선박피처!$D$2:$D$347,B21)</f>
        <v/>
      </c>
      <c r="G21" s="6">
        <f>COUNTIFS(선박피처!$C$2:$C$347,A21,선박피처!$D$2:$D$347,B21,선박피처!$N$2:$N$347,"O")</f>
        <v/>
      </c>
      <c r="H21" s="7" t="inlineStr">
        <is>
          <t>home_km_max_mean, home_km_mean_mean, home_km_max_median, home_km_mean_median, home_km_max_std, home_km_mean_std, home_km_max_p90, trip_max_dist_q50</t>
        </is>
      </c>
      <c r="I21" s="7" t="inlineStr">
        <is>
          <t>home_km_max_mean</t>
        </is>
      </c>
    </row>
    <row r="22">
      <c r="A22" s="10" t="inlineStr">
        <is>
          <t>시간 사용·항차</t>
        </is>
      </c>
      <c r="B22" s="10" t="inlineStr">
        <is>
          <t>상태별 시간 비율</t>
        </is>
      </c>
      <c r="C22" s="11" t="inlineStr">
        <is>
          <t>항구 정박/해상 정지/표류/조업속도/항해에 쓴 시간 비율 (민성 A)</t>
        </is>
      </c>
      <c r="D22" s="10" t="inlineStr">
        <is>
          <t>나연, 민성, 민성(H4), 지유</t>
        </is>
      </c>
      <c r="E22" s="11" t="inlineStr">
        <is>
          <t>port_share, sea_stationary_share, sea_stationary_share_sea, drift_share, drift_share_sea, fishing_speed_share, fishing_speed_share_sea, transit_share, transit_share_sea, sea_stop_share, fish_share, in_port_ratio, stationary_ratio, moving_hour_share, is_stationary</t>
        </is>
      </c>
      <c r="F22" s="10">
        <f>COUNTIFS(선박피처!$C$2:$C$347,A22,선박피처!$D$2:$D$347,B22)</f>
        <v/>
      </c>
      <c r="G22" s="10">
        <f>COUNTIFS(선박피처!$C$2:$C$347,A22,선박피처!$D$2:$D$347,B22,선박피처!$N$2:$N$347,"O")</f>
        <v/>
      </c>
      <c r="H22" s="11" t="inlineStr">
        <is>
          <t>port_share, sea_stationary_share, sea_stationary_share_sea, drift_share, drift_share_sea, fishing_speed_share, fishing_speed_share_sea, transit_share, transit_share_sea, moving_hour_share, in_port_ratio_mean, sea_stop_share_mean, drift_share_mean, fish_share_mean, transit_share_mean, stationary_ratio_mean, in_port_ratio_median, sea_stop_share_median, drift_share_median, fish_share_median, transit_share_median, stationary_ratio_median, in_port_ratio_std, sea_stop_share_std, drift_share_std, fish_share_std, transit_share_std, stationary_ratio_std</t>
        </is>
      </c>
      <c r="I22" s="11" t="inlineStr"/>
    </row>
    <row r="23">
      <c r="A23" s="10" t="inlineStr">
        <is>
          <t>시간 사용·항차</t>
        </is>
      </c>
      <c r="B23" s="10" t="inlineStr">
        <is>
          <t>상태 전환</t>
        </is>
      </c>
      <c r="C23" s="11" t="inlineStr">
        <is>
          <t>상태가 얼마나 자주 바뀌나</t>
        </is>
      </c>
      <c r="D23" s="10" t="inlineStr">
        <is>
          <t>나연, 민성</t>
        </is>
      </c>
      <c r="E23" s="11" t="inlineStr">
        <is>
          <t>n_transitions, transitions_per_day, n_stop_move_switch</t>
        </is>
      </c>
      <c r="F23" s="10">
        <f>COUNTIFS(선박피처!$C$2:$C$347,A23,선박피처!$D$2:$D$347,B23)</f>
        <v/>
      </c>
      <c r="G23" s="10">
        <f>COUNTIFS(선박피처!$C$2:$C$347,A23,선박피처!$D$2:$D$347,B23,선박피처!$N$2:$N$347,"O")</f>
        <v/>
      </c>
      <c r="H23" s="11" t="inlineStr">
        <is>
          <t>transitions_per_day, n_transitions_mean, mv_n_stop_move_switch_mean, n_transitions_median, mv_n_stop_move_switch_median, n_transitions_std, mv_n_stop_move_switch_std</t>
        </is>
      </c>
      <c r="I23" s="11" t="inlineStr">
        <is>
          <t>mv_n_stop_move_switch_median</t>
        </is>
      </c>
    </row>
    <row r="24">
      <c r="A24" s="10" t="inlineStr">
        <is>
          <t>시간 사용·항차</t>
        </is>
      </c>
      <c r="B24" s="10" t="inlineStr">
        <is>
          <t>항차(출항~귀항)</t>
        </is>
      </c>
      <c r="C24" s="11" t="inlineStr">
        <is>
          <t>출항 횟수, 항차 길이, 귀항 여부 (민성 B)</t>
        </is>
      </c>
      <c r="D24" s="10" t="inlineStr">
        <is>
          <t>나연, 민성</t>
        </is>
      </c>
      <c r="E24" s="11" t="inlineStr">
        <is>
          <t>departures, trips_per_day, trip_hours_q50, returned_ratio, returned_to_port</t>
        </is>
      </c>
      <c r="F24" s="10">
        <f>COUNTIFS(선박피처!$C$2:$C$347,A24,선박피처!$D$2:$D$347,B24)</f>
        <v/>
      </c>
      <c r="G24" s="10">
        <f>COUNTIFS(선박피처!$C$2:$C$347,A24,선박피처!$D$2:$D$347,B24,선박피처!$N$2:$N$347,"O")</f>
        <v/>
      </c>
      <c r="H24" s="11" t="inlineStr">
        <is>
          <t>returned_ratio, trips_per_day, departures_mean, departures_median, departures_std, trip_hours_q50</t>
        </is>
      </c>
      <c r="I24" s="11" t="inlineStr"/>
    </row>
    <row r="25">
      <c r="A25" s="10" t="inlineStr">
        <is>
          <t>시간 사용·항차</t>
        </is>
      </c>
      <c r="B25" s="10" t="inlineStr">
        <is>
          <t>출어 활동량</t>
        </is>
      </c>
      <c r="C25" s="11" t="inlineStr">
        <is>
          <t>얼마나 자주·오래 바다에 나가나</t>
        </is>
      </c>
      <c r="D25" s="10" t="inlineStr">
        <is>
          <t>나연, 민성</t>
        </is>
      </c>
      <c r="E25" s="11" t="inlineStr">
        <is>
          <t>n_days, n_months, n_moving_days, moving_days_ratio, moving_days_per_month, hours_per_day, n_hours, n_moving_hours, moving_ratio</t>
        </is>
      </c>
      <c r="F25" s="10">
        <f>COUNTIFS(선박피처!$C$2:$C$347,A25,선박피처!$D$2:$D$347,B25)</f>
        <v/>
      </c>
      <c r="G25" s="10">
        <f>COUNTIFS(선박피처!$C$2:$C$347,A25,선박피처!$D$2:$D$347,B25,선박피처!$N$2:$N$347,"O")</f>
        <v/>
      </c>
      <c r="H25" s="11" t="inlineStr">
        <is>
          <t>n_days, n_months, n_moving_days, moving_days_ratio, moving_days_per_month, hours_per_day, n_hours_mean, n_moving_hours_mean, moving_ratio_mean, n_hours_median, n_moving_hours_median, moving_ratio_median, n_hours_std, n_moving_hours_std, moving_ratio_std, n_moving_hours_p90</t>
        </is>
      </c>
      <c r="I25" s="11" t="inlineStr">
        <is>
          <t>moving_days_per_month</t>
        </is>
      </c>
    </row>
    <row r="26">
      <c r="A26" s="6" t="inlineStr">
        <is>
          <t>하루 리듬·시각(E)</t>
        </is>
      </c>
      <c r="B26" s="6" t="inlineStr">
        <is>
          <t>시작·종료 시각</t>
        </is>
      </c>
      <c r="C26" s="7" t="inlineStr">
        <is>
          <t>몇 시에 나가고 몇 시에 끝내나</t>
        </is>
      </c>
      <c r="D26" s="6" t="inlineStr">
        <is>
          <t>나연, 민성, 지유</t>
        </is>
      </c>
      <c r="E26" s="7" t="inlineStr">
        <is>
          <t>first_hour, last_hour, mv_first_hour, mv_last_hour, departure_hour_q50</t>
        </is>
      </c>
      <c r="F26" s="6">
        <f>COUNTIFS(선박피처!$C$2:$C$347,A26,선박피처!$D$2:$D$347,B26)</f>
        <v/>
      </c>
      <c r="G26" s="6">
        <f>COUNTIFS(선박피처!$C$2:$C$347,A26,선박피처!$D$2:$D$347,B26,선박피처!$N$2:$N$347,"O")</f>
        <v/>
      </c>
      <c r="H26" s="7" t="inlineStr">
        <is>
          <t>first_hour_mean, last_hour_mean, mv_first_hour_mean, mv_last_hour_mean, first_hour_median, last_hour_median, mv_first_hour_median, mv_last_hour_median, first_hour_std, last_hour_std, mv_first_hour_std, mv_last_hour_std, departure_hour_q50</t>
        </is>
      </c>
      <c r="I26" s="7" t="inlineStr">
        <is>
          <t>mv_last_hour_mean, mv_last_hour_std</t>
        </is>
      </c>
    </row>
    <row r="27">
      <c r="A27" s="6" t="inlineStr">
        <is>
          <t>하루 리듬·시각(E)</t>
        </is>
      </c>
      <c r="B27" s="6" t="inlineStr">
        <is>
          <t>조업 시간 폭</t>
        </is>
      </c>
      <c r="C27" s="7" t="inlineStr">
        <is>
          <t>하루 중 활동한 시간의 길이</t>
        </is>
      </c>
      <c r="D27" s="6" t="inlineStr">
        <is>
          <t>나연, 민성</t>
        </is>
      </c>
      <c r="E27" s="7" t="inlineStr">
        <is>
          <t>active_span_h, mv_span_h</t>
        </is>
      </c>
      <c r="F27" s="6">
        <f>COUNTIFS(선박피처!$C$2:$C$347,A27,선박피처!$D$2:$D$347,B27)</f>
        <v/>
      </c>
      <c r="G27" s="6">
        <f>COUNTIFS(선박피처!$C$2:$C$347,A27,선박피처!$D$2:$D$347,B27,선박피처!$N$2:$N$347,"O")</f>
        <v/>
      </c>
      <c r="H27" s="7" t="inlineStr">
        <is>
          <t>active_span_h_mean, mv_span_h_mean, active_span_h_median, mv_span_h_median, active_span_h_std, mv_span_h_std</t>
        </is>
      </c>
      <c r="I27" s="7" t="inlineStr"/>
    </row>
    <row r="28">
      <c r="A28" s="6" t="inlineStr">
        <is>
          <t>하루 리듬·시각(E)</t>
        </is>
      </c>
      <c r="B28" s="6" t="inlineStr">
        <is>
          <t>시간대 비중</t>
        </is>
      </c>
      <c r="C28" s="7" t="inlineStr">
        <is>
          <t>새벽/오전/오후/밤 중 언제 조업하나</t>
        </is>
      </c>
      <c r="D28" s="6" t="inlineStr">
        <is>
          <t>나연, 민성, 지유</t>
        </is>
      </c>
      <c r="E28" s="7" t="inlineStr">
        <is>
          <t>mv_share_dawn, mv_share_morning, mv_share_afternoon, mv_share_night, night_ratio, fishing_night_share</t>
        </is>
      </c>
      <c r="F28" s="6">
        <f>COUNTIFS(선박피처!$C$2:$C$347,A28,선박피처!$D$2:$D$347,B28)</f>
        <v/>
      </c>
      <c r="G28" s="6">
        <f>COUNTIFS(선박피처!$C$2:$C$347,A28,선박피처!$D$2:$D$347,B28,선박피처!$N$2:$N$347,"O")</f>
        <v/>
      </c>
      <c r="H28" s="7" t="inlineStr">
        <is>
          <t>mv_share_dawn_mean, mv_share_morning_mean, mv_share_afternoon_mean, mv_share_night_mean, night_ratio_mean, mv_share_dawn_median, mv_share_morning_median, mv_share_afternoon_median, mv_share_night_median, night_ratio_median, mv_share_dawn_std, mv_share_morning_std, mv_share_afternoon_std, mv_share_night_std, night_ratio_std, fishing_night_share</t>
        </is>
      </c>
      <c r="I28" s="7" t="inlineStr">
        <is>
          <t>mv_share_night_mean, fishing_night_share</t>
        </is>
      </c>
    </row>
    <row r="29">
      <c r="A29" s="6" t="inlineStr">
        <is>
          <t>하루 리듬·시각(E)</t>
        </is>
      </c>
      <c r="B29" s="6" t="inlineStr">
        <is>
          <t>이동 블록 구조</t>
        </is>
      </c>
      <c r="C29" s="7" t="inlineStr">
        <is>
          <t>투망-휴식-양망처럼 하루가 몇 덩어리로 나뉘나 (가설 E)</t>
        </is>
      </c>
      <c r="D29" s="6" t="inlineStr">
        <is>
          <t>가설 E, 민성</t>
        </is>
      </c>
      <c r="E29" s="7" t="inlineStr">
        <is>
          <t>active_block_count, longest_streak, max_block_gap_h</t>
        </is>
      </c>
      <c r="F29" s="6">
        <f>COUNTIFS(선박피처!$C$2:$C$347,A29,선박피처!$D$2:$D$347,B29)</f>
        <v/>
      </c>
      <c r="G29" s="6">
        <f>COUNTIFS(선박피처!$C$2:$C$347,A29,선박피처!$D$2:$D$347,B29,선박피처!$N$2:$N$347,"O")</f>
        <v/>
      </c>
      <c r="H29" s="7" t="inlineStr">
        <is>
          <t>longest_streak_mean, active_block_count_mean, max_block_gap_h_mean, longest_streak_median, active_block_count_median, max_block_gap_h_median, longest_streak_std, active_block_count_std, max_block_gap_h_std</t>
        </is>
      </c>
      <c r="I29" s="7" t="inlineStr">
        <is>
          <t>longest_streak_mean, longest_streak_std</t>
        </is>
      </c>
    </row>
    <row r="30">
      <c r="A30" s="10" t="inlineStr">
        <is>
          <t>재방문·어장반복(A)</t>
        </is>
      </c>
      <c r="B30" s="10" t="inlineStr">
        <is>
          <t>하루 내 재방문</t>
        </is>
      </c>
      <c r="C30" s="11" t="inlineStr">
        <is>
          <t>같은 200m 칸을 떠났다가 다시 오나 (어구 회수, 가설 A)</t>
        </is>
      </c>
      <c r="D30" s="10" t="inlineStr">
        <is>
          <t>가설 A</t>
        </is>
      </c>
      <c r="E30" s="11" t="inlineStr">
        <is>
          <t>return_after_absence, revisit_cell_ratio, n_cells_200m, top3_cell_share</t>
        </is>
      </c>
      <c r="F30" s="10">
        <f>COUNTIFS(선박피처!$C$2:$C$347,A30,선박피처!$D$2:$D$347,B30)</f>
        <v/>
      </c>
      <c r="G30" s="10">
        <f>COUNTIFS(선박피처!$C$2:$C$347,A30,선박피처!$D$2:$D$347,B30,선박피처!$N$2:$N$347,"O")</f>
        <v/>
      </c>
      <c r="H30" s="11" t="inlineStr">
        <is>
          <t>return_after_absence_mean, revisit_cell_ratio_mean, top3_cell_share_mean, n_cells_200m_mean, return_after_absence_median, revisit_cell_ratio_median, top3_cell_share_median, n_cells_200m_median, return_after_absence_std, revisit_cell_ratio_std, top3_cell_share_std, n_cells_200m_std</t>
        </is>
      </c>
      <c r="I30" s="11" t="inlineStr">
        <is>
          <t>revisit_cell_ratio_mean, top3_cell_share_median, revisit_cell_ratio_std, n_cells_200m_std</t>
        </is>
      </c>
    </row>
    <row r="31">
      <c r="A31" s="10" t="inlineStr">
        <is>
          <t>재방문·어장반복(A)</t>
        </is>
      </c>
      <c r="B31" s="10" t="inlineStr">
        <is>
          <t>날짜 간 어장 반복</t>
        </is>
      </c>
      <c r="C31" s="11" t="inlineStr">
        <is>
          <t>여러 날 같은 어장을 다시 찾나</t>
        </is>
      </c>
      <c r="D31" s="10" t="inlineStr">
        <is>
          <t>가설 A, 민성</t>
        </is>
      </c>
      <c r="E31" s="11" t="inlineStr">
        <is>
          <t>cross_day_revisit, site_jaccard_mean</t>
        </is>
      </c>
      <c r="F31" s="10">
        <f>COUNTIFS(선박피처!$C$2:$C$347,A31,선박피처!$D$2:$D$347,B31)</f>
        <v/>
      </c>
      <c r="G31" s="10">
        <f>COUNTIFS(선박피처!$C$2:$C$347,A31,선박피처!$D$2:$D$347,B31,선박피처!$N$2:$N$347,"O")</f>
        <v/>
      </c>
      <c r="H31" s="11" t="inlineStr">
        <is>
          <t>cross_day_revisit, site_jaccard_mean</t>
        </is>
      </c>
      <c r="I31" s="11" t="inlineStr">
        <is>
          <t>cross_day_revisit</t>
        </is>
      </c>
    </row>
    <row r="32">
      <c r="A32" s="6" t="inlineStr">
        <is>
          <t>체류점</t>
        </is>
      </c>
      <c r="B32" s="6" t="inlineStr">
        <is>
          <t>체류점</t>
        </is>
      </c>
      <c r="C32" s="7" t="inlineStr">
        <is>
          <t>반경 30m 안에 3점 이상 머문 지점 (민성, 지터 강건 정지 판정)</t>
        </is>
      </c>
      <c r="D32" s="6" t="inlineStr">
        <is>
          <t>민성</t>
        </is>
      </c>
      <c r="E32" s="7" t="inlineStr">
        <is>
          <t>n_stays, stay_frac</t>
        </is>
      </c>
      <c r="F32" s="6">
        <f>COUNTIFS(선박피처!$C$2:$C$347,A32,선박피처!$D$2:$D$347,B32)</f>
        <v/>
      </c>
      <c r="G32" s="6">
        <f>COUNTIFS(선박피처!$C$2:$C$347,A32,선박피처!$D$2:$D$347,B32,선박피처!$N$2:$N$347,"O")</f>
        <v/>
      </c>
      <c r="H32" s="7" t="inlineStr">
        <is>
          <t>mv_n_stays_mean, mv_stay_frac_mean, mv_n_stays_median, mv_stay_frac_median, mv_n_stays_std, mv_stay_frac_std, fh_n_stays_q50, fh_stay_frac_q50, fh_n_stays_q90, fh_stay_frac_q90</t>
        </is>
      </c>
      <c r="I32" s="7" t="inlineStr">
        <is>
          <t>fh_n_stays_q90</t>
        </is>
      </c>
    </row>
    <row r="33">
      <c r="A33" s="10" t="inlineStr">
        <is>
          <t>품질·기록량</t>
        </is>
      </c>
      <c r="B33" s="10" t="inlineStr">
        <is>
          <t>기록량</t>
        </is>
      </c>
      <c r="C33" s="11" t="inlineStr">
        <is>
          <t>GPS 점·구간이 얼마나 찍혔나</t>
        </is>
      </c>
      <c r="D33" s="10" t="inlineStr">
        <is>
          <t>나연, 지유, 진우</t>
        </is>
      </c>
      <c r="E33" s="11" t="inlineStr">
        <is>
          <t>n_points_raw, n_points, n_segments, gap_count, pts_per_seg, uniq_pos_ratio, n_points_day, n_segments_mean, n_move_steps</t>
        </is>
      </c>
      <c r="F33" s="10">
        <f>COUNTIFS(선박피처!$C$2:$C$347,A33,선박피처!$D$2:$D$347,B33)</f>
        <v/>
      </c>
      <c r="G33" s="10">
        <f>COUNTIFS(선박피처!$C$2:$C$347,A33,선박피처!$D$2:$D$347,B33,선박피처!$N$2:$N$347,"O")</f>
        <v/>
      </c>
      <c r="H33" s="11" t="inlineStr">
        <is>
          <t>n_segments_mean_mean, mv_uniq_pos_ratio_mean, mv_n_segments_mean, mv_n_points_mean, n_segments_mean_median, mv_uniq_pos_ratio_median, mv_n_segments_median, mv_n_points_median, n_segments_mean_std, mv_uniq_pos_ratio_std, mv_n_segments_std, mv_n_points_std, fh_uniq_pos_ratio_q50, fh_uniq_pos_ratio_q90</t>
        </is>
      </c>
      <c r="I33" s="11" t="inlineStr"/>
    </row>
    <row r="34">
      <c r="A34" s="10" t="inlineStr">
        <is>
          <t>품질·기록량</t>
        </is>
      </c>
      <c r="B34" s="10" t="inlineStr">
        <is>
          <t>GPS 튐·정제</t>
        </is>
      </c>
      <c r="C34" s="11" t="inlineStr">
        <is>
          <t>튐·점프로 제거된 양과 정제 전후 차이 (구성 C안 품질 피처)</t>
        </is>
      </c>
      <c r="D34" s="10" t="inlineStr">
        <is>
          <t>나연, 지유</t>
        </is>
      </c>
      <c r="E34" s="11" t="inlineStr">
        <is>
          <t>n_spikes, spike_ratio, n_jumps, n_bin_spikes, n_bin_jumps, bin_dispersion_m, raw_clean_diff_m, raw_clean_ratio, overspeed_flag, jump_share_day, n_jumps_day</t>
        </is>
      </c>
      <c r="F34" s="10">
        <f>COUNTIFS(선박피처!$C$2:$C$347,A34,선박피처!$D$2:$D$347,B34)</f>
        <v/>
      </c>
      <c r="G34" s="10">
        <f>COUNTIFS(선박피처!$C$2:$C$347,A34,선박피처!$D$2:$D$347,B34,선박피처!$N$2:$N$347,"O")</f>
        <v/>
      </c>
      <c r="H34" s="11" t="inlineStr">
        <is>
          <t>jump_share_day_mean, mv_spike_ratio_mean, mv_raw_clean_ratio_mean, mv_bin_dispersion_m_mean, jump_share_day_median, mv_spike_ratio_median, mv_raw_clean_ratio_median, mv_bin_dispersion_m_median, jump_share_day_std, mv_spike_ratio_std, mv_raw_clean_ratio_std, mv_bin_dispersion_m_std</t>
        </is>
      </c>
      <c r="I34" s="11" t="inlineStr"/>
    </row>
    <row r="35">
      <c r="A35" s="10" t="inlineStr">
        <is>
          <t>품질·기록량</t>
        </is>
      </c>
      <c r="B35" s="10" t="inlineStr">
        <is>
          <t>신호 끊김</t>
        </is>
      </c>
      <c r="C35" s="11" t="inlineStr">
        <is>
          <t>구간 사이 끊긴 거리</t>
        </is>
      </c>
      <c r="D35" s="10" t="inlineStr">
        <is>
          <t>지유, 진우</t>
        </is>
      </c>
      <c r="E35" s="11" t="inlineStr">
        <is>
          <t>gap_dist_m, max_gap_m</t>
        </is>
      </c>
      <c r="F35" s="10">
        <f>COUNTIFS(선박피처!$C$2:$C$347,A35,선박피처!$D$2:$D$347,B35)</f>
        <v/>
      </c>
      <c r="G35" s="10">
        <f>COUNTIFS(선박피처!$C$2:$C$347,A35,선박피처!$D$2:$D$347,B35,선박피처!$N$2:$N$347,"O")</f>
        <v/>
      </c>
      <c r="H35" s="11" t="inlineStr"/>
      <c r="I35" s="11" t="inlineStr"/>
    </row>
    <row r="36">
      <c r="A36" s="6" t="inlineStr">
        <is>
          <t>일 유형·이질성(G)</t>
        </is>
      </c>
      <c r="B36" s="6" t="inlineStr">
        <is>
          <t>출어일 유형</t>
        </is>
      </c>
      <c r="C36" s="7" t="inlineStr">
        <is>
          <t>하루 패턴 군집 비율과 다양성 (bag-of-days)</t>
        </is>
      </c>
      <c r="D36" s="6" t="inlineStr">
        <is>
          <t>가설 G</t>
        </is>
      </c>
      <c r="E36" s="7" t="inlineStr">
        <is>
          <t>daytype_0_share, daytype_1_share, daytype_2_share, daytype_3_share, daytype_4_share, daytype_5_share, daytype_6_share, daytype_7_share, day_type_entropy</t>
        </is>
      </c>
      <c r="F36" s="6">
        <f>COUNTIFS(선박피처!$C$2:$C$347,A36,선박피처!$D$2:$D$347,B36)</f>
        <v/>
      </c>
      <c r="G36" s="6">
        <f>COUNTIFS(선박피처!$C$2:$C$347,A36,선박피처!$D$2:$D$347,B36,선박피처!$N$2:$N$347,"O")</f>
        <v/>
      </c>
      <c r="H36" s="7" t="inlineStr">
        <is>
          <t>daytype_0_share, daytype_1_share, daytype_2_share, daytype_3_share, daytype_4_share, daytype_5_share, daytype_6_share, daytype_7_share, day_type_entropy</t>
        </is>
      </c>
      <c r="I36" s="7" t="inlineStr">
        <is>
          <t>daytype_2_share</t>
        </is>
      </c>
    </row>
    <row r="37">
      <c r="A37" s="10" t="inlineStr">
        <is>
          <t>계절(H)</t>
        </is>
      </c>
      <c r="B37" s="10" t="inlineStr">
        <is>
          <t>월별 출어</t>
        </is>
      </c>
      <c r="C37" s="11" t="inlineStr">
        <is>
          <t>어느 달에 주로 나가나</t>
        </is>
      </c>
      <c r="D37" s="10" t="inlineStr">
        <is>
          <t>가설 H, 민성</t>
        </is>
      </c>
      <c r="E37" s="11" t="inlineStr">
        <is>
          <t>season_m1_share, season_m2_share, season_m3_share, season_m4_share, season_m5_share, season_m6_share, month</t>
        </is>
      </c>
      <c r="F37" s="10">
        <f>COUNTIFS(선박피처!$C$2:$C$347,A37,선박피처!$D$2:$D$347,B37)</f>
        <v/>
      </c>
      <c r="G37" s="10">
        <f>COUNTIFS(선박피처!$C$2:$C$347,A37,선박피처!$D$2:$D$347,B37,선박피처!$N$2:$N$347,"O")</f>
        <v/>
      </c>
      <c r="H37" s="11" t="inlineStr">
        <is>
          <t>season_m1_share, season_m2_share, season_m3_share, season_m4_share, season_m5_share, season_m6_share</t>
        </is>
      </c>
      <c r="I37" s="11" t="inlineStr">
        <is>
          <t>season_m3_share</t>
        </is>
      </c>
    </row>
    <row r="38">
      <c r="A38" s="6" t="inlineStr">
        <is>
          <t>위치(LOC)</t>
        </is>
      </c>
      <c r="B38" s="6" t="inlineStr">
        <is>
          <t>좌표</t>
        </is>
      </c>
      <c r="C38" s="7" t="inlineStr">
        <is>
          <t>어디서 활동하나 (shortcut 위험 → Pool A 제외)</t>
        </is>
      </c>
      <c r="D38" s="6" t="inlineStr">
        <is>
          <t>공통, 나연, 민성, 진우</t>
        </is>
      </c>
      <c r="E38" s="7" t="inlineStr">
        <is>
          <t>lon_c, lat_c, lon_s, lat_s, lon_e, lat_e, lon_start, lat_start, lon_end, lat_end, mv_lon_c, mv_lat_c, home_lon, home_lat, fishing_lon, fishing_lat, home_port_km</t>
        </is>
      </c>
      <c r="F38" s="6">
        <f>COUNTIFS(선박피처!$C$2:$C$347,A38,선박피처!$D$2:$D$347,B38)</f>
        <v/>
      </c>
      <c r="G38" s="6">
        <f>COUNTIFS(선박피처!$C$2:$C$347,A38,선박피처!$D$2:$D$347,B38,선박피처!$N$2:$N$347,"O")</f>
        <v/>
      </c>
      <c r="H38" s="7" t="inlineStr">
        <is>
          <t>lon_c, lat_c, home_lon, home_lat, fishing_lon, fishing_lat, home_port_km</t>
        </is>
      </c>
      <c r="I38" s="7" t="inlineStr">
        <is>
          <t>lon_c, lat_c, home_lon, home_port_km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8" customWidth="1" min="4" max="4"/>
    <col width="22" customWidth="1" min="5" max="5"/>
    <col width="40" customWidth="1" min="6" max="6"/>
    <col width="34" customWidth="1" min="7" max="7"/>
    <col width="11" customWidth="1" min="8" max="8"/>
    <col width="14" customWidth="1" min="9" max="9"/>
    <col width="8" customWidth="1" min="10" max="10"/>
    <col width="1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  <col width="7" customWidth="1" min="17" max="17"/>
    <col width="7" customWidth="1" min="18" max="18"/>
    <col width="26" customWidth="1" min="19" max="19"/>
  </cols>
  <sheetData>
    <row r="1">
      <c r="A1" s="5" t="inlineStr">
        <is>
          <t>No</t>
        </is>
      </c>
      <c r="B1" s="5" t="inlineStr">
        <is>
          <t>피처명</t>
        </is>
      </c>
      <c r="C1" s="5" t="inlineStr">
        <is>
          <t>대분류</t>
        </is>
      </c>
      <c r="D1" s="5" t="inlineStr">
        <is>
          <t>세부 구분</t>
        </is>
      </c>
      <c r="E1" s="5" t="inlineStr">
        <is>
          <t>기본 피처</t>
        </is>
      </c>
      <c r="F1" s="5" t="inlineStr">
        <is>
          <t>기본 피처 설명</t>
        </is>
      </c>
      <c r="G1" s="5" t="inlineStr">
        <is>
          <t>만드는 방법</t>
        </is>
      </c>
      <c r="H1" s="5" t="inlineStr">
        <is>
          <t>계산 단위</t>
        </is>
      </c>
      <c r="I1" s="5" t="inlineStr">
        <is>
          <t>출처</t>
        </is>
      </c>
      <c r="J1" s="5" t="inlineStr">
        <is>
          <t>위치(LOC)</t>
        </is>
      </c>
      <c r="K1" s="5" t="inlineStr">
        <is>
          <t>가설</t>
        </is>
      </c>
      <c r="L1" s="5" t="inlineStr">
        <is>
          <t>Pool A 후보</t>
        </is>
      </c>
      <c r="M1" s="5" t="inlineStr">
        <is>
          <t>Pool B 후보</t>
        </is>
      </c>
      <c r="N1" s="5" t="inlineStr">
        <is>
          <t>Pool B 최종30</t>
        </is>
      </c>
      <c r="O1" s="5" t="inlineStr">
        <is>
          <t>A 선정빈도</t>
        </is>
      </c>
      <c r="P1" s="5" t="inlineStr">
        <is>
          <t>B 선정빈도</t>
        </is>
      </c>
      <c r="Q1" s="5" t="inlineStr">
        <is>
          <t>A 순위</t>
        </is>
      </c>
      <c r="R1" s="5" t="inlineStr">
        <is>
          <t>B 순위</t>
        </is>
      </c>
      <c r="S1" s="5" t="inlineStr">
        <is>
          <t>중복 시 대표(B)</t>
        </is>
      </c>
    </row>
    <row r="2">
      <c r="A2" s="6" t="n">
        <v>1</v>
      </c>
      <c r="B2" s="6" t="inlineStr">
        <is>
          <t>n_days</t>
        </is>
      </c>
      <c r="C2" s="6" t="inlineStr">
        <is>
          <t>시간 사용·항차</t>
        </is>
      </c>
      <c r="D2" s="6" t="inlineStr">
        <is>
          <t>출어 활동량</t>
        </is>
      </c>
      <c r="E2" s="6" t="inlineStr">
        <is>
          <t>n_days</t>
        </is>
      </c>
      <c r="F2" s="7" t="inlineStr">
        <is>
          <t>기록일 수</t>
        </is>
      </c>
      <c r="G2" s="7" t="inlineStr">
        <is>
          <t>선박 전체 기간에서 직접 계산</t>
        </is>
      </c>
      <c r="H2" s="6" t="inlineStr">
        <is>
          <t>L3 선박</t>
        </is>
      </c>
      <c r="I2" s="6" t="inlineStr">
        <is>
          <t>나연</t>
        </is>
      </c>
      <c r="J2" s="6" t="inlineStr"/>
      <c r="K2" s="6" t="inlineStr"/>
      <c r="L2" s="6" t="inlineStr">
        <is>
          <t>O</t>
        </is>
      </c>
      <c r="M2" s="6" t="inlineStr">
        <is>
          <t>O</t>
        </is>
      </c>
      <c r="N2" s="6" t="inlineStr"/>
      <c r="O2" s="12" t="n">
        <v>1</v>
      </c>
      <c r="P2" s="12" t="n">
        <v>0</v>
      </c>
      <c r="Q2" s="6" t="n">
        <v>121</v>
      </c>
      <c r="R2" s="6" t="n">
        <v>95</v>
      </c>
      <c r="S2" s="6" t="inlineStr">
        <is>
          <t>n_moving_days</t>
        </is>
      </c>
    </row>
    <row r="3">
      <c r="A3" s="6" t="n">
        <v>2</v>
      </c>
      <c r="B3" s="6" t="inlineStr">
        <is>
          <t>n_months</t>
        </is>
      </c>
      <c r="C3" s="6" t="inlineStr">
        <is>
          <t>시간 사용·항차</t>
        </is>
      </c>
      <c r="D3" s="6" t="inlineStr">
        <is>
          <t>출어 활동량</t>
        </is>
      </c>
      <c r="E3" s="6" t="inlineStr">
        <is>
          <t>n_months</t>
        </is>
      </c>
      <c r="F3" s="7" t="inlineStr">
        <is>
          <t>기록 개월 수</t>
        </is>
      </c>
      <c r="G3" s="7" t="inlineStr">
        <is>
          <t>선박 전체 기간에서 직접 계산</t>
        </is>
      </c>
      <c r="H3" s="6" t="inlineStr">
        <is>
          <t>L3 선박</t>
        </is>
      </c>
      <c r="I3" s="6" t="inlineStr">
        <is>
          <t>나연</t>
        </is>
      </c>
      <c r="J3" s="6" t="inlineStr"/>
      <c r="K3" s="6" t="inlineStr"/>
      <c r="L3" s="6" t="inlineStr">
        <is>
          <t>O</t>
        </is>
      </c>
      <c r="M3" s="6" t="inlineStr">
        <is>
          <t>O</t>
        </is>
      </c>
      <c r="N3" s="6" t="inlineStr"/>
      <c r="O3" s="12" t="n">
        <v>1</v>
      </c>
      <c r="P3" s="12" t="n">
        <v>0</v>
      </c>
      <c r="Q3" s="6" t="n">
        <v>158</v>
      </c>
      <c r="R3" s="6" t="n">
        <v>278</v>
      </c>
      <c r="S3" s="6" t="inlineStr"/>
    </row>
    <row r="4">
      <c r="A4" s="6" t="n">
        <v>3</v>
      </c>
      <c r="B4" s="6" t="inlineStr">
        <is>
          <t>n_moving_days</t>
        </is>
      </c>
      <c r="C4" s="6" t="inlineStr">
        <is>
          <t>시간 사용·항차</t>
        </is>
      </c>
      <c r="D4" s="6" t="inlineStr">
        <is>
          <t>출어 활동량</t>
        </is>
      </c>
      <c r="E4" s="6" t="inlineStr">
        <is>
          <t>n_moving_days</t>
        </is>
      </c>
      <c r="F4" s="7" t="inlineStr">
        <is>
          <t>출어일 수</t>
        </is>
      </c>
      <c r="G4" s="7" t="inlineStr">
        <is>
          <t>선박 전체 기간에서 직접 계산</t>
        </is>
      </c>
      <c r="H4" s="6" t="inlineStr">
        <is>
          <t>L3 선박</t>
        </is>
      </c>
      <c r="I4" s="6" t="inlineStr">
        <is>
          <t>나연</t>
        </is>
      </c>
      <c r="J4" s="6" t="inlineStr"/>
      <c r="K4" s="6" t="inlineStr"/>
      <c r="L4" s="6" t="inlineStr">
        <is>
          <t>O</t>
        </is>
      </c>
      <c r="M4" s="6" t="inlineStr">
        <is>
          <t>O</t>
        </is>
      </c>
      <c r="N4" s="6" t="inlineStr"/>
      <c r="O4" s="12" t="n">
        <v>0</v>
      </c>
      <c r="P4" s="12" t="n">
        <v>0.2</v>
      </c>
      <c r="Q4" s="6" t="n">
        <v>313</v>
      </c>
      <c r="R4" s="6" t="n">
        <v>42</v>
      </c>
      <c r="S4" s="6" t="inlineStr">
        <is>
          <t>moving_days_per_month</t>
        </is>
      </c>
    </row>
    <row r="5">
      <c r="A5" s="6" t="n">
        <v>4</v>
      </c>
      <c r="B5" s="6" t="inlineStr">
        <is>
          <t>moving_days_ratio</t>
        </is>
      </c>
      <c r="C5" s="6" t="inlineStr">
        <is>
          <t>시간 사용·항차</t>
        </is>
      </c>
      <c r="D5" s="6" t="inlineStr">
        <is>
          <t>출어 활동량</t>
        </is>
      </c>
      <c r="E5" s="6" t="inlineStr">
        <is>
          <t>moving_days_ratio</t>
        </is>
      </c>
      <c r="F5" s="7" t="inlineStr">
        <is>
          <t>출어일 비율</t>
        </is>
      </c>
      <c r="G5" s="7" t="inlineStr">
        <is>
          <t>선박 전체 기간에서 직접 계산</t>
        </is>
      </c>
      <c r="H5" s="6" t="inlineStr">
        <is>
          <t>L3 선박</t>
        </is>
      </c>
      <c r="I5" s="6" t="inlineStr">
        <is>
          <t>나연</t>
        </is>
      </c>
      <c r="J5" s="6" t="inlineStr"/>
      <c r="K5" s="6" t="inlineStr"/>
      <c r="L5" s="6" t="inlineStr">
        <is>
          <t>O</t>
        </is>
      </c>
      <c r="M5" s="6" t="inlineStr">
        <is>
          <t>O</t>
        </is>
      </c>
      <c r="N5" s="6" t="inlineStr"/>
      <c r="O5" s="12" t="n">
        <v>1</v>
      </c>
      <c r="P5" s="12" t="n">
        <v>0</v>
      </c>
      <c r="Q5" s="6" t="n">
        <v>109</v>
      </c>
      <c r="R5" s="6" t="n">
        <v>271</v>
      </c>
      <c r="S5" s="6" t="inlineStr"/>
    </row>
    <row r="6">
      <c r="A6" s="13" t="n">
        <v>5</v>
      </c>
      <c r="B6" s="13" t="inlineStr">
        <is>
          <t>moving_days_per_month</t>
        </is>
      </c>
      <c r="C6" s="13" t="inlineStr">
        <is>
          <t>시간 사용·항차</t>
        </is>
      </c>
      <c r="D6" s="13" t="inlineStr">
        <is>
          <t>출어 활동량</t>
        </is>
      </c>
      <c r="E6" s="13" t="inlineStr">
        <is>
          <t>moving_days_per_month</t>
        </is>
      </c>
      <c r="F6" s="14" t="inlineStr">
        <is>
          <t>월평균 출어일</t>
        </is>
      </c>
      <c r="G6" s="14" t="inlineStr">
        <is>
          <t>선박 전체 기간에서 직접 계산</t>
        </is>
      </c>
      <c r="H6" s="13" t="inlineStr">
        <is>
          <t>L3 선박</t>
        </is>
      </c>
      <c r="I6" s="13" t="inlineStr">
        <is>
          <t>나연</t>
        </is>
      </c>
      <c r="J6" s="13" t="inlineStr"/>
      <c r="K6" s="13" t="inlineStr"/>
      <c r="L6" s="13" t="inlineStr">
        <is>
          <t>O</t>
        </is>
      </c>
      <c r="M6" s="13" t="inlineStr">
        <is>
          <t>O</t>
        </is>
      </c>
      <c r="N6" s="13" t="inlineStr">
        <is>
          <t>O</t>
        </is>
      </c>
      <c r="O6" s="15" t="n">
        <v>1</v>
      </c>
      <c r="P6" s="15" t="n">
        <v>0.6</v>
      </c>
      <c r="Q6" s="13" t="n">
        <v>9</v>
      </c>
      <c r="R6" s="13" t="n">
        <v>21</v>
      </c>
      <c r="S6" s="13" t="inlineStr">
        <is>
          <t>n_moving_days</t>
        </is>
      </c>
    </row>
    <row r="7">
      <c r="A7" s="6" t="n">
        <v>6</v>
      </c>
      <c r="B7" s="6" t="inlineStr">
        <is>
          <t>hours_per_day</t>
        </is>
      </c>
      <c r="C7" s="6" t="inlineStr">
        <is>
          <t>시간 사용·항차</t>
        </is>
      </c>
      <c r="D7" s="6" t="inlineStr">
        <is>
          <t>출어 활동량</t>
        </is>
      </c>
      <c r="E7" s="6" t="inlineStr">
        <is>
          <t>hours_per_day</t>
        </is>
      </c>
      <c r="F7" s="7" t="inlineStr">
        <is>
          <t>하루 평균 기록 시간</t>
        </is>
      </c>
      <c r="G7" s="7" t="inlineStr">
        <is>
          <t>선박 전체 기간에서 직접 계산</t>
        </is>
      </c>
      <c r="H7" s="6" t="inlineStr">
        <is>
          <t>L3 선박</t>
        </is>
      </c>
      <c r="I7" s="6" t="inlineStr">
        <is>
          <t>나연</t>
        </is>
      </c>
      <c r="J7" s="6" t="inlineStr"/>
      <c r="K7" s="6" t="inlineStr"/>
      <c r="L7" s="6" t="inlineStr">
        <is>
          <t>O</t>
        </is>
      </c>
      <c r="M7" s="6" t="inlineStr">
        <is>
          <t>O</t>
        </is>
      </c>
      <c r="N7" s="6" t="inlineStr"/>
      <c r="O7" s="12" t="n">
        <v>1</v>
      </c>
      <c r="P7" s="12" t="n">
        <v>0</v>
      </c>
      <c r="Q7" s="6" t="n">
        <v>159</v>
      </c>
      <c r="R7" s="6" t="n">
        <v>212</v>
      </c>
      <c r="S7" s="6" t="inlineStr"/>
    </row>
    <row r="8">
      <c r="A8" s="6" t="n">
        <v>7</v>
      </c>
      <c r="B8" s="6" t="inlineStr">
        <is>
          <t>port_share</t>
        </is>
      </c>
      <c r="C8" s="6" t="inlineStr">
        <is>
          <t>시간 사용·항차</t>
        </is>
      </c>
      <c r="D8" s="6" t="inlineStr">
        <is>
          <t>상태별 시간 비율</t>
        </is>
      </c>
      <c r="E8" s="6" t="inlineStr">
        <is>
          <t>port_share</t>
        </is>
      </c>
      <c r="F8" s="7" t="inlineStr">
        <is>
          <t>항구 정박 시간 비율</t>
        </is>
      </c>
      <c r="G8" s="7" t="inlineStr">
        <is>
          <t>선박 전체 기간에서 직접 계산</t>
        </is>
      </c>
      <c r="H8" s="6" t="inlineStr">
        <is>
          <t>L3 선박</t>
        </is>
      </c>
      <c r="I8" s="6" t="inlineStr">
        <is>
          <t>민성</t>
        </is>
      </c>
      <c r="J8" s="6" t="inlineStr"/>
      <c r="K8" s="6" t="inlineStr"/>
      <c r="L8" s="6" t="inlineStr">
        <is>
          <t>O</t>
        </is>
      </c>
      <c r="M8" s="6" t="inlineStr">
        <is>
          <t>O</t>
        </is>
      </c>
      <c r="N8" s="6" t="inlineStr"/>
      <c r="O8" s="12" t="n">
        <v>1</v>
      </c>
      <c r="P8" s="12" t="n">
        <v>0</v>
      </c>
      <c r="Q8" s="6" t="n">
        <v>177</v>
      </c>
      <c r="R8" s="6" t="n">
        <v>299</v>
      </c>
      <c r="S8" s="6" t="inlineStr"/>
    </row>
    <row r="9">
      <c r="A9" s="6" t="n">
        <v>8</v>
      </c>
      <c r="B9" s="6" t="inlineStr">
        <is>
          <t>sea_stationary_share</t>
        </is>
      </c>
      <c r="C9" s="6" t="inlineStr">
        <is>
          <t>시간 사용·항차</t>
        </is>
      </c>
      <c r="D9" s="6" t="inlineStr">
        <is>
          <t>상태별 시간 비율</t>
        </is>
      </c>
      <c r="E9" s="6" t="inlineStr">
        <is>
          <t>sea_stationary_share</t>
        </is>
      </c>
      <c r="F9" s="7" t="inlineStr">
        <is>
          <t>해상 정지 시간 비율</t>
        </is>
      </c>
      <c r="G9" s="7" t="inlineStr">
        <is>
          <t>선박 전체 기간에서 직접 계산</t>
        </is>
      </c>
      <c r="H9" s="6" t="inlineStr">
        <is>
          <t>L3 선박</t>
        </is>
      </c>
      <c r="I9" s="6" t="inlineStr">
        <is>
          <t>민성</t>
        </is>
      </c>
      <c r="J9" s="6" t="inlineStr"/>
      <c r="K9" s="6" t="inlineStr">
        <is>
          <t>가설 관련</t>
        </is>
      </c>
      <c r="L9" s="6" t="inlineStr">
        <is>
          <t>O</t>
        </is>
      </c>
      <c r="M9" s="6" t="inlineStr">
        <is>
          <t>O</t>
        </is>
      </c>
      <c r="N9" s="6" t="inlineStr"/>
      <c r="O9" s="12" t="n">
        <v>1</v>
      </c>
      <c r="P9" s="12" t="n">
        <v>0</v>
      </c>
      <c r="Q9" s="6" t="n">
        <v>182</v>
      </c>
      <c r="R9" s="6" t="n">
        <v>313</v>
      </c>
      <c r="S9" s="6" t="inlineStr"/>
    </row>
    <row r="10">
      <c r="A10" s="6" t="n">
        <v>9</v>
      </c>
      <c r="B10" s="6" t="inlineStr">
        <is>
          <t>sea_stationary_share_sea</t>
        </is>
      </c>
      <c r="C10" s="6" t="inlineStr">
        <is>
          <t>시간 사용·항차</t>
        </is>
      </c>
      <c r="D10" s="6" t="inlineStr">
        <is>
          <t>상태별 시간 비율</t>
        </is>
      </c>
      <c r="E10" s="6" t="inlineStr">
        <is>
          <t>sea_stationary_share_sea</t>
        </is>
      </c>
      <c r="F10" s="7" t="inlineStr">
        <is>
          <t>항구 제외 시간 중 해상 정지 비율</t>
        </is>
      </c>
      <c r="G10" s="7" t="inlineStr">
        <is>
          <t>선박 전체 기간에서 직접 계산</t>
        </is>
      </c>
      <c r="H10" s="6" t="inlineStr">
        <is>
          <t>L3 선박</t>
        </is>
      </c>
      <c r="I10" s="6" t="inlineStr">
        <is>
          <t>민성(H4)</t>
        </is>
      </c>
      <c r="J10" s="6" t="inlineStr"/>
      <c r="K10" s="6" t="inlineStr">
        <is>
          <t>가설 관련</t>
        </is>
      </c>
      <c r="L10" s="6" t="inlineStr">
        <is>
          <t>O</t>
        </is>
      </c>
      <c r="M10" s="6" t="inlineStr">
        <is>
          <t>O</t>
        </is>
      </c>
      <c r="N10" s="6" t="inlineStr"/>
      <c r="O10" s="12" t="n">
        <v>1</v>
      </c>
      <c r="P10" s="12" t="n">
        <v>0</v>
      </c>
      <c r="Q10" s="6" t="n">
        <v>119</v>
      </c>
      <c r="R10" s="6" t="n">
        <v>127</v>
      </c>
      <c r="S10" s="6" t="inlineStr"/>
    </row>
    <row r="11">
      <c r="A11" s="6" t="n">
        <v>10</v>
      </c>
      <c r="B11" s="6" t="inlineStr">
        <is>
          <t>drift_share</t>
        </is>
      </c>
      <c r="C11" s="6" t="inlineStr">
        <is>
          <t>시간 사용·항차</t>
        </is>
      </c>
      <c r="D11" s="6" t="inlineStr">
        <is>
          <t>상태별 시간 비율</t>
        </is>
      </c>
      <c r="E11" s="6" t="inlineStr">
        <is>
          <t>drift_share</t>
        </is>
      </c>
      <c r="F11" s="7" t="inlineStr">
        <is>
          <t>표류(0.3~2kn) 시간 비율 (전체 기간)</t>
        </is>
      </c>
      <c r="G11" s="7" t="inlineStr">
        <is>
          <t>선박 전체 기간에서 직접 계산</t>
        </is>
      </c>
      <c r="H11" s="6" t="inlineStr">
        <is>
          <t>L3 선박</t>
        </is>
      </c>
      <c r="I11" s="6" t="inlineStr">
        <is>
          <t>민성</t>
        </is>
      </c>
      <c r="J11" s="6" t="inlineStr"/>
      <c r="K11" s="6" t="inlineStr">
        <is>
          <t>가설 관련</t>
        </is>
      </c>
      <c r="L11" s="6" t="inlineStr">
        <is>
          <t>O</t>
        </is>
      </c>
      <c r="M11" s="6" t="inlineStr">
        <is>
          <t>O</t>
        </is>
      </c>
      <c r="N11" s="6" t="inlineStr"/>
      <c r="O11" s="12" t="n">
        <v>1</v>
      </c>
      <c r="P11" s="12" t="n">
        <v>0</v>
      </c>
      <c r="Q11" s="6" t="n">
        <v>103</v>
      </c>
      <c r="R11" s="6" t="n">
        <v>124</v>
      </c>
      <c r="S11" s="6" t="inlineStr"/>
    </row>
    <row r="12">
      <c r="A12" s="6" t="n">
        <v>11</v>
      </c>
      <c r="B12" s="6" t="inlineStr">
        <is>
          <t>drift_share_sea</t>
        </is>
      </c>
      <c r="C12" s="6" t="inlineStr">
        <is>
          <t>시간 사용·항차</t>
        </is>
      </c>
      <c r="D12" s="6" t="inlineStr">
        <is>
          <t>상태별 시간 비율</t>
        </is>
      </c>
      <c r="E12" s="6" t="inlineStr">
        <is>
          <t>drift_share_sea</t>
        </is>
      </c>
      <c r="F12" s="7" t="inlineStr">
        <is>
          <t>항구 제외 시간 중 표류 비율</t>
        </is>
      </c>
      <c r="G12" s="7" t="inlineStr">
        <is>
          <t>선박 전체 기간에서 직접 계산</t>
        </is>
      </c>
      <c r="H12" s="6" t="inlineStr">
        <is>
          <t>L3 선박</t>
        </is>
      </c>
      <c r="I12" s="6" t="inlineStr">
        <is>
          <t>민성(H4)</t>
        </is>
      </c>
      <c r="J12" s="6" t="inlineStr"/>
      <c r="K12" s="6" t="inlineStr">
        <is>
          <t>가설 관련</t>
        </is>
      </c>
      <c r="L12" s="6" t="inlineStr">
        <is>
          <t>O</t>
        </is>
      </c>
      <c r="M12" s="6" t="inlineStr">
        <is>
          <t>O</t>
        </is>
      </c>
      <c r="N12" s="6" t="inlineStr"/>
      <c r="O12" s="12" t="n">
        <v>1</v>
      </c>
      <c r="P12" s="12" t="n">
        <v>0</v>
      </c>
      <c r="Q12" s="6" t="n">
        <v>163</v>
      </c>
      <c r="R12" s="6" t="n">
        <v>176</v>
      </c>
      <c r="S12" s="6" t="inlineStr"/>
    </row>
    <row r="13">
      <c r="A13" s="6" t="n">
        <v>12</v>
      </c>
      <c r="B13" s="6" t="inlineStr">
        <is>
          <t>fishing_speed_share</t>
        </is>
      </c>
      <c r="C13" s="6" t="inlineStr">
        <is>
          <t>시간 사용·항차</t>
        </is>
      </c>
      <c r="D13" s="6" t="inlineStr">
        <is>
          <t>상태별 시간 비율</t>
        </is>
      </c>
      <c r="E13" s="6" t="inlineStr">
        <is>
          <t>fishing_speed_share</t>
        </is>
      </c>
      <c r="F13" s="7" t="inlineStr">
        <is>
          <t>조업속도 시간 비율</t>
        </is>
      </c>
      <c r="G13" s="7" t="inlineStr">
        <is>
          <t>선박 전체 기간에서 직접 계산</t>
        </is>
      </c>
      <c r="H13" s="6" t="inlineStr">
        <is>
          <t>L3 선박</t>
        </is>
      </c>
      <c r="I13" s="6" t="inlineStr">
        <is>
          <t>민성</t>
        </is>
      </c>
      <c r="J13" s="6" t="inlineStr"/>
      <c r="K13" s="6" t="inlineStr"/>
      <c r="L13" s="6" t="inlineStr">
        <is>
          <t>O</t>
        </is>
      </c>
      <c r="M13" s="6" t="inlineStr">
        <is>
          <t>O</t>
        </is>
      </c>
      <c r="N13" s="6" t="inlineStr"/>
      <c r="O13" s="12" t="n">
        <v>1</v>
      </c>
      <c r="P13" s="12" t="n">
        <v>0</v>
      </c>
      <c r="Q13" s="6" t="n">
        <v>188</v>
      </c>
      <c r="R13" s="6" t="n">
        <v>325</v>
      </c>
      <c r="S13" s="6" t="inlineStr"/>
    </row>
    <row r="14">
      <c r="A14" s="6" t="n">
        <v>13</v>
      </c>
      <c r="B14" s="6" t="inlineStr">
        <is>
          <t>fishing_speed_share_sea</t>
        </is>
      </c>
      <c r="C14" s="6" t="inlineStr">
        <is>
          <t>시간 사용·항차</t>
        </is>
      </c>
      <c r="D14" s="6" t="inlineStr">
        <is>
          <t>상태별 시간 비율</t>
        </is>
      </c>
      <c r="E14" s="6" t="inlineStr">
        <is>
          <t>fishing_speed_share_sea</t>
        </is>
      </c>
      <c r="F14" s="7" t="inlineStr">
        <is>
          <t>항구 제외 시간 중 조업속도 비율</t>
        </is>
      </c>
      <c r="G14" s="7" t="inlineStr">
        <is>
          <t>선박 전체 기간에서 직접 계산</t>
        </is>
      </c>
      <c r="H14" s="6" t="inlineStr">
        <is>
          <t>L3 선박</t>
        </is>
      </c>
      <c r="I14" s="6" t="inlineStr">
        <is>
          <t>민성(H4)</t>
        </is>
      </c>
      <c r="J14" s="6" t="inlineStr"/>
      <c r="K14" s="6" t="inlineStr"/>
      <c r="L14" s="6" t="inlineStr">
        <is>
          <t>O</t>
        </is>
      </c>
      <c r="M14" s="6" t="inlineStr">
        <is>
          <t>O</t>
        </is>
      </c>
      <c r="N14" s="6" t="inlineStr"/>
      <c r="O14" s="12" t="n">
        <v>1</v>
      </c>
      <c r="P14" s="12" t="n">
        <v>0</v>
      </c>
      <c r="Q14" s="6" t="n">
        <v>96</v>
      </c>
      <c r="R14" s="6" t="n">
        <v>122</v>
      </c>
      <c r="S14" s="6" t="inlineStr"/>
    </row>
    <row r="15">
      <c r="A15" s="6" t="n">
        <v>14</v>
      </c>
      <c r="B15" s="6" t="inlineStr">
        <is>
          <t>transit_share</t>
        </is>
      </c>
      <c r="C15" s="6" t="inlineStr">
        <is>
          <t>시간 사용·항차</t>
        </is>
      </c>
      <c r="D15" s="6" t="inlineStr">
        <is>
          <t>상태별 시간 비율</t>
        </is>
      </c>
      <c r="E15" s="6" t="inlineStr">
        <is>
          <t>transit_share</t>
        </is>
      </c>
      <c r="F15" s="7" t="inlineStr">
        <is>
          <t>항해(&gt;5kn, 직선) 시간 비율 (전체 기간)</t>
        </is>
      </c>
      <c r="G15" s="7" t="inlineStr">
        <is>
          <t>선박 전체 기간에서 직접 계산</t>
        </is>
      </c>
      <c r="H15" s="6" t="inlineStr">
        <is>
          <t>L3 선박</t>
        </is>
      </c>
      <c r="I15" s="6" t="inlineStr">
        <is>
          <t>민성</t>
        </is>
      </c>
      <c r="J15" s="6" t="inlineStr"/>
      <c r="K15" s="6" t="inlineStr"/>
      <c r="L15" s="6" t="inlineStr">
        <is>
          <t>O</t>
        </is>
      </c>
      <c r="M15" s="6" t="inlineStr">
        <is>
          <t>O</t>
        </is>
      </c>
      <c r="N15" s="6" t="inlineStr"/>
      <c r="O15" s="12" t="n">
        <v>0.2</v>
      </c>
      <c r="P15" s="12" t="n">
        <v>0</v>
      </c>
      <c r="Q15" s="6" t="n">
        <v>306</v>
      </c>
      <c r="R15" s="6" t="n">
        <v>296</v>
      </c>
      <c r="S15" s="6" t="inlineStr">
        <is>
          <t>transit_share_sea</t>
        </is>
      </c>
    </row>
    <row r="16">
      <c r="A16" s="6" t="n">
        <v>15</v>
      </c>
      <c r="B16" s="6" t="inlineStr">
        <is>
          <t>transit_share_sea</t>
        </is>
      </c>
      <c r="C16" s="6" t="inlineStr">
        <is>
          <t>시간 사용·항차</t>
        </is>
      </c>
      <c r="D16" s="6" t="inlineStr">
        <is>
          <t>상태별 시간 비율</t>
        </is>
      </c>
      <c r="E16" s="6" t="inlineStr">
        <is>
          <t>transit_share_sea</t>
        </is>
      </c>
      <c r="F16" s="7" t="inlineStr">
        <is>
          <t>항구 제외 시간 중 항해 비율</t>
        </is>
      </c>
      <c r="G16" s="7" t="inlineStr">
        <is>
          <t>선박 전체 기간에서 직접 계산</t>
        </is>
      </c>
      <c r="H16" s="6" t="inlineStr">
        <is>
          <t>L3 선박</t>
        </is>
      </c>
      <c r="I16" s="6" t="inlineStr">
        <is>
          <t>민성(H4)</t>
        </is>
      </c>
      <c r="J16" s="6" t="inlineStr"/>
      <c r="K16" s="6" t="inlineStr"/>
      <c r="L16" s="6" t="inlineStr">
        <is>
          <t>O</t>
        </is>
      </c>
      <c r="M16" s="6" t="inlineStr">
        <is>
          <t>O</t>
        </is>
      </c>
      <c r="N16" s="6" t="inlineStr"/>
      <c r="O16" s="12" t="n">
        <v>0.4</v>
      </c>
      <c r="P16" s="12" t="n">
        <v>0</v>
      </c>
      <c r="Q16" s="6" t="n">
        <v>266</v>
      </c>
      <c r="R16" s="6" t="n">
        <v>298</v>
      </c>
      <c r="S16" s="6" t="inlineStr">
        <is>
          <t>transit_share</t>
        </is>
      </c>
    </row>
    <row r="17">
      <c r="A17" s="6" t="n">
        <v>16</v>
      </c>
      <c r="B17" s="6" t="inlineStr">
        <is>
          <t>moving_hour_share</t>
        </is>
      </c>
      <c r="C17" s="6" t="inlineStr">
        <is>
          <t>시간 사용·항차</t>
        </is>
      </c>
      <c r="D17" s="6" t="inlineStr">
        <is>
          <t>상태별 시간 비율</t>
        </is>
      </c>
      <c r="E17" s="6" t="inlineStr">
        <is>
          <t>moving_hour_share</t>
        </is>
      </c>
      <c r="F17" s="7" t="inlineStr">
        <is>
          <t>전체 시간 중 이동 시간 비율</t>
        </is>
      </c>
      <c r="G17" s="7" t="inlineStr">
        <is>
          <t>선박 전체 기간에서 직접 계산</t>
        </is>
      </c>
      <c r="H17" s="6" t="inlineStr">
        <is>
          <t>L3 선박</t>
        </is>
      </c>
      <c r="I17" s="6" t="inlineStr">
        <is>
          <t>나연</t>
        </is>
      </c>
      <c r="J17" s="6" t="inlineStr"/>
      <c r="K17" s="6" t="inlineStr"/>
      <c r="L17" s="6" t="inlineStr">
        <is>
          <t>O</t>
        </is>
      </c>
      <c r="M17" s="6" t="inlineStr">
        <is>
          <t>O</t>
        </is>
      </c>
      <c r="N17" s="6" t="inlineStr"/>
      <c r="O17" s="12" t="n">
        <v>1</v>
      </c>
      <c r="P17" s="12" t="n">
        <v>0</v>
      </c>
      <c r="Q17" s="6" t="n">
        <v>153</v>
      </c>
      <c r="R17" s="6" t="n">
        <v>242</v>
      </c>
      <c r="S17" s="6" t="inlineStr"/>
    </row>
    <row r="18">
      <c r="A18" s="6" t="n">
        <v>17</v>
      </c>
      <c r="B18" s="6" t="inlineStr">
        <is>
          <t>returned_ratio</t>
        </is>
      </c>
      <c r="C18" s="6" t="inlineStr">
        <is>
          <t>시간 사용·항차</t>
        </is>
      </c>
      <c r="D18" s="6" t="inlineStr">
        <is>
          <t>항차(출항~귀항)</t>
        </is>
      </c>
      <c r="E18" s="6" t="inlineStr">
        <is>
          <t>returned_ratio</t>
        </is>
      </c>
      <c r="F18" s="7" t="inlineStr">
        <is>
          <t>출어일 귀항 비율</t>
        </is>
      </c>
      <c r="G18" s="7" t="inlineStr">
        <is>
          <t>선박 전체 기간에서 직접 계산</t>
        </is>
      </c>
      <c r="H18" s="6" t="inlineStr">
        <is>
          <t>L3 선박</t>
        </is>
      </c>
      <c r="I18" s="6" t="inlineStr">
        <is>
          <t>나연</t>
        </is>
      </c>
      <c r="J18" s="6" t="inlineStr"/>
      <c r="K18" s="6" t="inlineStr"/>
      <c r="L18" s="6" t="inlineStr">
        <is>
          <t>O</t>
        </is>
      </c>
      <c r="M18" s="6" t="inlineStr">
        <is>
          <t>O</t>
        </is>
      </c>
      <c r="N18" s="6" t="inlineStr"/>
      <c r="O18" s="12" t="n">
        <v>1</v>
      </c>
      <c r="P18" s="12" t="n">
        <v>0</v>
      </c>
      <c r="Q18" s="6" t="n">
        <v>43</v>
      </c>
      <c r="R18" s="6" t="n">
        <v>82</v>
      </c>
      <c r="S18" s="6" t="inlineStr"/>
    </row>
    <row r="19">
      <c r="A19" s="6" t="n">
        <v>18</v>
      </c>
      <c r="B19" s="6" t="inlineStr">
        <is>
          <t>transitions_per_day</t>
        </is>
      </c>
      <c r="C19" s="6" t="inlineStr">
        <is>
          <t>시간 사용·항차</t>
        </is>
      </c>
      <c r="D19" s="6" t="inlineStr">
        <is>
          <t>상태 전환</t>
        </is>
      </c>
      <c r="E19" s="6" t="inlineStr">
        <is>
          <t>transitions_per_day</t>
        </is>
      </c>
      <c r="F19" s="7" t="inlineStr">
        <is>
          <t>하루 평균 상태 전환</t>
        </is>
      </c>
      <c r="G19" s="7" t="inlineStr">
        <is>
          <t>선박 전체 기간에서 직접 계산</t>
        </is>
      </c>
      <c r="H19" s="6" t="inlineStr">
        <is>
          <t>L3 선박</t>
        </is>
      </c>
      <c r="I19" s="6" t="inlineStr">
        <is>
          <t>민성</t>
        </is>
      </c>
      <c r="J19" s="6" t="inlineStr"/>
      <c r="K19" s="6" t="inlineStr"/>
      <c r="L19" s="6" t="inlineStr">
        <is>
          <t>O</t>
        </is>
      </c>
      <c r="M19" s="6" t="inlineStr">
        <is>
          <t>O</t>
        </is>
      </c>
      <c r="N19" s="6" t="inlineStr"/>
      <c r="O19" s="12" t="n">
        <v>0.8</v>
      </c>
      <c r="P19" s="12" t="n">
        <v>0</v>
      </c>
      <c r="Q19" s="6" t="n">
        <v>212</v>
      </c>
      <c r="R19" s="6" t="n">
        <v>129</v>
      </c>
      <c r="S19" s="6" t="inlineStr"/>
    </row>
    <row r="20">
      <c r="A20" s="6" t="n">
        <v>19</v>
      </c>
      <c r="B20" s="6" t="inlineStr">
        <is>
          <t>trips_per_day</t>
        </is>
      </c>
      <c r="C20" s="6" t="inlineStr">
        <is>
          <t>시간 사용·항차</t>
        </is>
      </c>
      <c r="D20" s="6" t="inlineStr">
        <is>
          <t>항차(출항~귀항)</t>
        </is>
      </c>
      <c r="E20" s="6" t="inlineStr">
        <is>
          <t>trips_per_day</t>
        </is>
      </c>
      <c r="F20" s="7" t="inlineStr">
        <is>
          <t>하루 평균 출항 수</t>
        </is>
      </c>
      <c r="G20" s="7" t="inlineStr">
        <is>
          <t>선박 전체 기간에서 직접 계산</t>
        </is>
      </c>
      <c r="H20" s="6" t="inlineStr">
        <is>
          <t>L3 선박</t>
        </is>
      </c>
      <c r="I20" s="6" t="inlineStr">
        <is>
          <t>민성</t>
        </is>
      </c>
      <c r="J20" s="6" t="inlineStr"/>
      <c r="K20" s="6" t="inlineStr"/>
      <c r="L20" s="6" t="inlineStr">
        <is>
          <t>O</t>
        </is>
      </c>
      <c r="M20" s="6" t="inlineStr">
        <is>
          <t>O</t>
        </is>
      </c>
      <c r="N20" s="6" t="inlineStr"/>
      <c r="O20" s="12" t="n">
        <v>0.8</v>
      </c>
      <c r="P20" s="12" t="n">
        <v>0</v>
      </c>
      <c r="Q20" s="6" t="n">
        <v>202</v>
      </c>
      <c r="R20" s="6" t="n">
        <v>141</v>
      </c>
      <c r="S20" s="6" t="inlineStr"/>
    </row>
    <row r="21">
      <c r="A21" s="6" t="n">
        <v>20</v>
      </c>
      <c r="B21" s="6" t="inlineStr">
        <is>
          <t>n_hours_mean</t>
        </is>
      </c>
      <c r="C21" s="6" t="inlineStr">
        <is>
          <t>시간 사용·항차</t>
        </is>
      </c>
      <c r="D21" s="6" t="inlineStr">
        <is>
          <t>출어 활동량</t>
        </is>
      </c>
      <c r="E21" s="6" t="inlineStr">
        <is>
          <t>n_hours</t>
        </is>
      </c>
      <c r="F21" s="7" t="inlineStr">
        <is>
          <t>하루 기록 시간대 수</t>
        </is>
      </c>
      <c r="G21" s="7" t="inlineStr">
        <is>
          <t>출어일 값들의 평균</t>
        </is>
      </c>
      <c r="H21" s="6" t="inlineStr">
        <is>
          <t>L2→L3</t>
        </is>
      </c>
      <c r="I21" s="6" t="inlineStr">
        <is>
          <t>나연·민성</t>
        </is>
      </c>
      <c r="J21" s="6" t="inlineStr"/>
      <c r="K21" s="6" t="inlineStr"/>
      <c r="L21" s="6" t="inlineStr">
        <is>
          <t>O</t>
        </is>
      </c>
      <c r="M21" s="6" t="inlineStr">
        <is>
          <t>O</t>
        </is>
      </c>
      <c r="N21" s="6" t="inlineStr"/>
      <c r="O21" s="12" t="n">
        <v>0.6</v>
      </c>
      <c r="P21" s="12" t="n">
        <v>0</v>
      </c>
      <c r="Q21" s="6" t="n">
        <v>243</v>
      </c>
      <c r="R21" s="6" t="n">
        <v>268</v>
      </c>
      <c r="S21" s="6" t="inlineStr">
        <is>
          <t>active_span_h_mean</t>
        </is>
      </c>
    </row>
    <row r="22">
      <c r="A22" s="6" t="n">
        <v>21</v>
      </c>
      <c r="B22" s="6" t="inlineStr">
        <is>
          <t>n_moving_hours_mean</t>
        </is>
      </c>
      <c r="C22" s="6" t="inlineStr">
        <is>
          <t>시간 사용·항차</t>
        </is>
      </c>
      <c r="D22" s="6" t="inlineStr">
        <is>
          <t>출어 활동량</t>
        </is>
      </c>
      <c r="E22" s="6" t="inlineStr">
        <is>
          <t>n_moving_hours</t>
        </is>
      </c>
      <c r="F22" s="7" t="inlineStr">
        <is>
          <t>이동 시간대 수</t>
        </is>
      </c>
      <c r="G22" s="7" t="inlineStr">
        <is>
          <t>출어일 값들의 평균</t>
        </is>
      </c>
      <c r="H22" s="6" t="inlineStr">
        <is>
          <t>L2→L3</t>
        </is>
      </c>
      <c r="I22" s="6" t="inlineStr">
        <is>
          <t>나연</t>
        </is>
      </c>
      <c r="J22" s="6" t="inlineStr"/>
      <c r="K22" s="6" t="inlineStr"/>
      <c r="L22" s="6" t="inlineStr">
        <is>
          <t>O</t>
        </is>
      </c>
      <c r="M22" s="6" t="inlineStr">
        <is>
          <t>O</t>
        </is>
      </c>
      <c r="N22" s="6" t="inlineStr"/>
      <c r="O22" s="12" t="n">
        <v>0.2</v>
      </c>
      <c r="P22" s="12" t="n">
        <v>0</v>
      </c>
      <c r="Q22" s="6" t="n">
        <v>291</v>
      </c>
      <c r="R22" s="6" t="n">
        <v>218</v>
      </c>
      <c r="S22" s="6" t="inlineStr">
        <is>
          <t>n_moving_hours_p90</t>
        </is>
      </c>
    </row>
    <row r="23">
      <c r="A23" s="6" t="n">
        <v>22</v>
      </c>
      <c r="B23" s="6" t="inlineStr">
        <is>
          <t>moving_ratio_mean</t>
        </is>
      </c>
      <c r="C23" s="6" t="inlineStr">
        <is>
          <t>시간 사용·항차</t>
        </is>
      </c>
      <c r="D23" s="6" t="inlineStr">
        <is>
          <t>출어 활동량</t>
        </is>
      </c>
      <c r="E23" s="6" t="inlineStr">
        <is>
          <t>moving_ratio</t>
        </is>
      </c>
      <c r="F23" s="7" t="inlineStr">
        <is>
          <t>이동 시간대 비율</t>
        </is>
      </c>
      <c r="G23" s="7" t="inlineStr">
        <is>
          <t>출어일 값들의 평균</t>
        </is>
      </c>
      <c r="H23" s="6" t="inlineStr">
        <is>
          <t>L2→L3</t>
        </is>
      </c>
      <c r="I23" s="6" t="inlineStr">
        <is>
          <t>나연</t>
        </is>
      </c>
      <c r="J23" s="6" t="inlineStr"/>
      <c r="K23" s="6" t="inlineStr"/>
      <c r="L23" s="6" t="inlineStr">
        <is>
          <t>O</t>
        </is>
      </c>
      <c r="M23" s="6" t="inlineStr">
        <is>
          <t>O</t>
        </is>
      </c>
      <c r="N23" s="6" t="inlineStr"/>
      <c r="O23" s="12" t="n">
        <v>0.2</v>
      </c>
      <c r="P23" s="12" t="n">
        <v>0</v>
      </c>
      <c r="Q23" s="6" t="n">
        <v>289</v>
      </c>
      <c r="R23" s="6" t="n">
        <v>265</v>
      </c>
      <c r="S23" s="6" t="inlineStr">
        <is>
          <t>moving_ratio_median</t>
        </is>
      </c>
    </row>
    <row r="24">
      <c r="A24" s="6" t="n">
        <v>23</v>
      </c>
      <c r="B24" s="6" t="inlineStr">
        <is>
          <t>active_span_h_mean</t>
        </is>
      </c>
      <c r="C24" s="6" t="inlineStr">
        <is>
          <t>하루 리듬·시각(E)</t>
        </is>
      </c>
      <c r="D24" s="6" t="inlineStr">
        <is>
          <t>조업 시간 폭</t>
        </is>
      </c>
      <c r="E24" s="6" t="inlineStr">
        <is>
          <t>active_span_h</t>
        </is>
      </c>
      <c r="F24" s="7" t="inlineStr">
        <is>
          <t>첫~마지막 기록 시간 폭</t>
        </is>
      </c>
      <c r="G24" s="7" t="inlineStr">
        <is>
          <t>출어일 값들의 평균</t>
        </is>
      </c>
      <c r="H24" s="6" t="inlineStr">
        <is>
          <t>L2→L3</t>
        </is>
      </c>
      <c r="I24" s="6" t="inlineStr">
        <is>
          <t>나연</t>
        </is>
      </c>
      <c r="J24" s="6" t="inlineStr"/>
      <c r="K24" s="6" t="inlineStr"/>
      <c r="L24" s="6" t="inlineStr">
        <is>
          <t>O</t>
        </is>
      </c>
      <c r="M24" s="6" t="inlineStr">
        <is>
          <t>O</t>
        </is>
      </c>
      <c r="N24" s="6" t="inlineStr"/>
      <c r="O24" s="12" t="n">
        <v>0.4</v>
      </c>
      <c r="P24" s="12" t="n">
        <v>0</v>
      </c>
      <c r="Q24" s="6" t="n">
        <v>265</v>
      </c>
      <c r="R24" s="6" t="n">
        <v>111</v>
      </c>
      <c r="S24" s="6" t="inlineStr">
        <is>
          <t>active_span_h_median</t>
        </is>
      </c>
    </row>
    <row r="25">
      <c r="A25" s="6" t="n">
        <v>24</v>
      </c>
      <c r="B25" s="6" t="inlineStr">
        <is>
          <t>first_hour_mean</t>
        </is>
      </c>
      <c r="C25" s="6" t="inlineStr">
        <is>
          <t>하루 리듬·시각(E)</t>
        </is>
      </c>
      <c r="D25" s="6" t="inlineStr">
        <is>
          <t>시작·종료 시각</t>
        </is>
      </c>
      <c r="E25" s="6" t="inlineStr">
        <is>
          <t>first_hour</t>
        </is>
      </c>
      <c r="F25" s="7" t="inlineStr">
        <is>
          <t>첫 기록 시각</t>
        </is>
      </c>
      <c r="G25" s="7" t="inlineStr">
        <is>
          <t>출어일 값들의 평균</t>
        </is>
      </c>
      <c r="H25" s="6" t="inlineStr">
        <is>
          <t>L2→L3</t>
        </is>
      </c>
      <c r="I25" s="6" t="inlineStr">
        <is>
          <t>민성·지유</t>
        </is>
      </c>
      <c r="J25" s="6" t="inlineStr"/>
      <c r="K25" s="6" t="inlineStr"/>
      <c r="L25" s="6" t="inlineStr">
        <is>
          <t>O</t>
        </is>
      </c>
      <c r="M25" s="6" t="inlineStr">
        <is>
          <t>O</t>
        </is>
      </c>
      <c r="N25" s="6" t="inlineStr"/>
      <c r="O25" s="12" t="n">
        <v>1</v>
      </c>
      <c r="P25" s="12" t="n">
        <v>0.4</v>
      </c>
      <c r="Q25" s="6" t="n">
        <v>40</v>
      </c>
      <c r="R25" s="6" t="n">
        <v>36</v>
      </c>
      <c r="S25" s="6" t="inlineStr"/>
    </row>
    <row r="26">
      <c r="A26" s="6" t="n">
        <v>25</v>
      </c>
      <c r="B26" s="6" t="inlineStr">
        <is>
          <t>last_hour_mean</t>
        </is>
      </c>
      <c r="C26" s="6" t="inlineStr">
        <is>
          <t>하루 리듬·시각(E)</t>
        </is>
      </c>
      <c r="D26" s="6" t="inlineStr">
        <is>
          <t>시작·종료 시각</t>
        </is>
      </c>
      <c r="E26" s="6" t="inlineStr">
        <is>
          <t>last_hour</t>
        </is>
      </c>
      <c r="F26" s="7" t="inlineStr">
        <is>
          <t>마지막 기록 시각</t>
        </is>
      </c>
      <c r="G26" s="7" t="inlineStr">
        <is>
          <t>출어일 값들의 평균</t>
        </is>
      </c>
      <c r="H26" s="6" t="inlineStr">
        <is>
          <t>L2→L3</t>
        </is>
      </c>
      <c r="I26" s="6" t="inlineStr">
        <is>
          <t>민성·지유</t>
        </is>
      </c>
      <c r="J26" s="6" t="inlineStr"/>
      <c r="K26" s="6" t="inlineStr"/>
      <c r="L26" s="6" t="inlineStr">
        <is>
          <t>O</t>
        </is>
      </c>
      <c r="M26" s="6" t="inlineStr">
        <is>
          <t>O</t>
        </is>
      </c>
      <c r="N26" s="6" t="inlineStr"/>
      <c r="O26" s="12" t="n">
        <v>0.8</v>
      </c>
      <c r="P26" s="12" t="n">
        <v>0</v>
      </c>
      <c r="Q26" s="6" t="n">
        <v>194</v>
      </c>
      <c r="R26" s="6" t="n">
        <v>98</v>
      </c>
      <c r="S26" s="6" t="inlineStr">
        <is>
          <t>last_hour_median</t>
        </is>
      </c>
    </row>
    <row r="27">
      <c r="A27" s="6" t="n">
        <v>26</v>
      </c>
      <c r="B27" s="6" t="inlineStr">
        <is>
          <t>dist_day_km_mean</t>
        </is>
      </c>
      <c r="C27" s="6" t="inlineStr">
        <is>
          <t>이동량·공간범위</t>
        </is>
      </c>
      <c r="D27" s="6" t="inlineStr">
        <is>
          <t>이동거리</t>
        </is>
      </c>
      <c r="E27" s="6" t="inlineStr">
        <is>
          <t>dist_day_km</t>
        </is>
      </c>
      <c r="F27" s="7" t="inlineStr">
        <is>
          <t>하루 평활 이동거리(km)</t>
        </is>
      </c>
      <c r="G27" s="7" t="inlineStr">
        <is>
          <t>출어일 값들의 평균</t>
        </is>
      </c>
      <c r="H27" s="6" t="inlineStr">
        <is>
          <t>L2→L3</t>
        </is>
      </c>
      <c r="I27" s="6" t="inlineStr">
        <is>
          <t>나연·지유</t>
        </is>
      </c>
      <c r="J27" s="6" t="inlineStr"/>
      <c r="K27" s="6" t="inlineStr"/>
      <c r="L27" s="6" t="inlineStr">
        <is>
          <t>O</t>
        </is>
      </c>
      <c r="M27" s="6" t="inlineStr">
        <is>
          <t>O</t>
        </is>
      </c>
      <c r="N27" s="6" t="inlineStr"/>
      <c r="O27" s="12" t="n">
        <v>0.2</v>
      </c>
      <c r="P27" s="12" t="n">
        <v>0</v>
      </c>
      <c r="Q27" s="6" t="n">
        <v>286</v>
      </c>
      <c r="R27" s="6" t="n">
        <v>219</v>
      </c>
      <c r="S27" s="6" t="inlineStr">
        <is>
          <t>day_bbox_diag_km_mean</t>
        </is>
      </c>
    </row>
    <row r="28">
      <c r="A28" s="6" t="n">
        <v>27</v>
      </c>
      <c r="B28" s="6" t="inlineStr">
        <is>
          <t>jump_share_day_mean</t>
        </is>
      </c>
      <c r="C28" s="6" t="inlineStr">
        <is>
          <t>품질·기록량</t>
        </is>
      </c>
      <c r="D28" s="6" t="inlineStr">
        <is>
          <t>GPS 튐·정제</t>
        </is>
      </c>
      <c r="E28" s="6" t="inlineStr">
        <is>
          <t>jump_share_day</t>
        </is>
      </c>
      <c r="F28" s="7" t="inlineStr">
        <is>
          <t>튐 비중 = 1 − 평활/원거리</t>
        </is>
      </c>
      <c r="G28" s="7" t="inlineStr">
        <is>
          <t>출어일 값들의 평균</t>
        </is>
      </c>
      <c r="H28" s="6" t="inlineStr">
        <is>
          <t>L2→L3</t>
        </is>
      </c>
      <c r="I28" s="6" t="inlineStr">
        <is>
          <t>나연</t>
        </is>
      </c>
      <c r="J28" s="6" t="inlineStr"/>
      <c r="K28" s="6" t="inlineStr"/>
      <c r="L28" s="6" t="inlineStr">
        <is>
          <t>O</t>
        </is>
      </c>
      <c r="M28" s="6" t="inlineStr">
        <is>
          <t>O</t>
        </is>
      </c>
      <c r="N28" s="6" t="inlineStr"/>
      <c r="O28" s="12" t="n">
        <v>0.2</v>
      </c>
      <c r="P28" s="12" t="n">
        <v>0</v>
      </c>
      <c r="Q28" s="6" t="n">
        <v>310</v>
      </c>
      <c r="R28" s="6" t="n">
        <v>335</v>
      </c>
      <c r="S28" s="6" t="inlineStr">
        <is>
          <t>jump_share_day_median</t>
        </is>
      </c>
    </row>
    <row r="29">
      <c r="A29" s="6" t="n">
        <v>28</v>
      </c>
      <c r="B29" s="6" t="inlineStr">
        <is>
          <t>day_net_disp_km_mean</t>
        </is>
      </c>
      <c r="C29" s="6" t="inlineStr">
        <is>
          <t>이동량·공간범위</t>
        </is>
      </c>
      <c r="D29" s="6" t="inlineStr">
        <is>
          <t>변위·이격</t>
        </is>
      </c>
      <c r="E29" s="6" t="inlineStr">
        <is>
          <t>day_net_disp_km</t>
        </is>
      </c>
      <c r="F29" s="7" t="inlineStr">
        <is>
          <t>하루 시작→끝 변위(km)</t>
        </is>
      </c>
      <c r="G29" s="7" t="inlineStr">
        <is>
          <t>출어일 값들의 평균</t>
        </is>
      </c>
      <c r="H29" s="6" t="inlineStr">
        <is>
          <t>L2→L3</t>
        </is>
      </c>
      <c r="I29" s="6" t="inlineStr">
        <is>
          <t>나연</t>
        </is>
      </c>
      <c r="J29" s="6" t="inlineStr"/>
      <c r="K29" s="6" t="inlineStr"/>
      <c r="L29" s="6" t="inlineStr">
        <is>
          <t>O</t>
        </is>
      </c>
      <c r="M29" s="6" t="inlineStr">
        <is>
          <t>O</t>
        </is>
      </c>
      <c r="N29" s="6" t="inlineStr"/>
      <c r="O29" s="12" t="n">
        <v>1</v>
      </c>
      <c r="P29" s="12" t="n">
        <v>0.4</v>
      </c>
      <c r="Q29" s="6" t="n">
        <v>11</v>
      </c>
      <c r="R29" s="6" t="n">
        <v>35</v>
      </c>
      <c r="S29" s="6" t="inlineStr"/>
    </row>
    <row r="30">
      <c r="A30" s="6" t="n">
        <v>29</v>
      </c>
      <c r="B30" s="6" t="inlineStr">
        <is>
          <t>day_straightness_mean</t>
        </is>
      </c>
      <c r="C30" s="6" t="inlineStr">
        <is>
          <t>경로형태·직선투망(B)</t>
        </is>
      </c>
      <c r="D30" s="6" t="inlineStr">
        <is>
          <t>직진도·구불거림</t>
        </is>
      </c>
      <c r="E30" s="6" t="inlineStr">
        <is>
          <t>day_straightness</t>
        </is>
      </c>
      <c r="F30" s="7" t="inlineStr">
        <is>
          <t>하루 직진도 = 변위/거리</t>
        </is>
      </c>
      <c r="G30" s="7" t="inlineStr">
        <is>
          <t>출어일 값들의 평균</t>
        </is>
      </c>
      <c r="H30" s="6" t="inlineStr">
        <is>
          <t>L2→L3</t>
        </is>
      </c>
      <c r="I30" s="6" t="inlineStr">
        <is>
          <t>가설 B</t>
        </is>
      </c>
      <c r="J30" s="6" t="inlineStr"/>
      <c r="K30" s="6" t="inlineStr"/>
      <c r="L30" s="6" t="inlineStr">
        <is>
          <t>O</t>
        </is>
      </c>
      <c r="M30" s="6" t="inlineStr">
        <is>
          <t>O</t>
        </is>
      </c>
      <c r="N30" s="6" t="inlineStr"/>
      <c r="O30" s="12" t="n">
        <v>1</v>
      </c>
      <c r="P30" s="12" t="n">
        <v>0</v>
      </c>
      <c r="Q30" s="6" t="n">
        <v>132</v>
      </c>
      <c r="R30" s="6" t="n">
        <v>214</v>
      </c>
      <c r="S30" s="6" t="inlineStr"/>
    </row>
    <row r="31">
      <c r="A31" s="6" t="n">
        <v>30</v>
      </c>
      <c r="B31" s="6" t="inlineStr">
        <is>
          <t>day_rg_km_mean</t>
        </is>
      </c>
      <c r="C31" s="6" t="inlineStr">
        <is>
          <t>이동량·공간범위</t>
        </is>
      </c>
      <c r="D31" s="6" t="inlineStr">
        <is>
          <t>활동 범위(하루)</t>
        </is>
      </c>
      <c r="E31" s="6" t="inlineStr">
        <is>
          <t>day_rg_km</t>
        </is>
      </c>
      <c r="F31" s="7" t="inlineStr">
        <is>
          <t>시간대 중심들의 퍼짐(km)</t>
        </is>
      </c>
      <c r="G31" s="7" t="inlineStr">
        <is>
          <t>출어일 값들의 평균</t>
        </is>
      </c>
      <c r="H31" s="6" t="inlineStr">
        <is>
          <t>L2→L3</t>
        </is>
      </c>
      <c r="I31" s="6" t="inlineStr">
        <is>
          <t>나연</t>
        </is>
      </c>
      <c r="J31" s="6" t="inlineStr"/>
      <c r="K31" s="6" t="inlineStr"/>
      <c r="L31" s="6" t="inlineStr">
        <is>
          <t>O</t>
        </is>
      </c>
      <c r="M31" s="6" t="inlineStr">
        <is>
          <t>O</t>
        </is>
      </c>
      <c r="N31" s="6" t="inlineStr"/>
      <c r="O31" s="12" t="n">
        <v>0</v>
      </c>
      <c r="P31" s="12" t="n">
        <v>0.2</v>
      </c>
      <c r="Q31" s="6" t="n">
        <v>314</v>
      </c>
      <c r="R31" s="6" t="n">
        <v>49</v>
      </c>
      <c r="S31" s="6" t="inlineStr">
        <is>
          <t>home_km_max_mean</t>
        </is>
      </c>
    </row>
    <row r="32">
      <c r="A32" s="6" t="n">
        <v>31</v>
      </c>
      <c r="B32" s="6" t="inlineStr">
        <is>
          <t>day_bbox_diag_km_mean</t>
        </is>
      </c>
      <c r="C32" s="6" t="inlineStr">
        <is>
          <t>이동량·공간범위</t>
        </is>
      </c>
      <c r="D32" s="6" t="inlineStr">
        <is>
          <t>활동 범위(하루)</t>
        </is>
      </c>
      <c r="E32" s="6" t="inlineStr">
        <is>
          <t>day_bbox_diag_km</t>
        </is>
      </c>
      <c r="F32" s="7" t="inlineStr">
        <is>
          <t>하루 활동범위 대각선(km)</t>
        </is>
      </c>
      <c r="G32" s="7" t="inlineStr">
        <is>
          <t>출어일 값들의 평균</t>
        </is>
      </c>
      <c r="H32" s="6" t="inlineStr">
        <is>
          <t>L2→L3</t>
        </is>
      </c>
      <c r="I32" s="6" t="inlineStr">
        <is>
          <t>나연</t>
        </is>
      </c>
      <c r="J32" s="6" t="inlineStr"/>
      <c r="K32" s="6" t="inlineStr"/>
      <c r="L32" s="6" t="inlineStr">
        <is>
          <t>O</t>
        </is>
      </c>
      <c r="M32" s="6" t="inlineStr">
        <is>
          <t>O</t>
        </is>
      </c>
      <c r="N32" s="6" t="inlineStr"/>
      <c r="O32" s="12" t="n">
        <v>0.2</v>
      </c>
      <c r="P32" s="12" t="n">
        <v>0.2</v>
      </c>
      <c r="Q32" s="6" t="n">
        <v>273</v>
      </c>
      <c r="R32" s="6" t="n">
        <v>48</v>
      </c>
      <c r="S32" s="6" t="inlineStr">
        <is>
          <t>home_km_max_mean</t>
        </is>
      </c>
    </row>
    <row r="33">
      <c r="A33" s="6" t="n">
        <v>32</v>
      </c>
      <c r="B33" s="6" t="inlineStr">
        <is>
          <t>day_range_q95_km_mean</t>
        </is>
      </c>
      <c r="C33" s="6" t="inlineStr">
        <is>
          <t>이동량·공간범위</t>
        </is>
      </c>
      <c r="D33" s="6" t="inlineStr">
        <is>
          <t>변위·이격</t>
        </is>
      </c>
      <c r="E33" s="6" t="inlineStr">
        <is>
          <t>day_range_q95_km</t>
        </is>
      </c>
      <c r="F33" s="7" t="inlineStr">
        <is>
          <t>첫 위치에서 95% 분위 이격(km, 지터 강건 day_range)</t>
        </is>
      </c>
      <c r="G33" s="7" t="inlineStr">
        <is>
          <t>출어일 값들의 평균</t>
        </is>
      </c>
      <c r="H33" s="6" t="inlineStr">
        <is>
          <t>L2→L3</t>
        </is>
      </c>
      <c r="I33" s="6" t="inlineStr">
        <is>
          <t>민성</t>
        </is>
      </c>
      <c r="J33" s="6" t="inlineStr"/>
      <c r="K33" s="6" t="inlineStr"/>
      <c r="L33" s="6" t="inlineStr">
        <is>
          <t>O</t>
        </is>
      </c>
      <c r="M33" s="6" t="inlineStr">
        <is>
          <t>O</t>
        </is>
      </c>
      <c r="N33" s="6" t="inlineStr"/>
      <c r="O33" s="12" t="n">
        <v>0</v>
      </c>
      <c r="P33" s="12" t="n">
        <v>0</v>
      </c>
      <c r="Q33" s="6" t="n">
        <v>312</v>
      </c>
      <c r="R33" s="6" t="n">
        <v>86</v>
      </c>
      <c r="S33" s="6" t="inlineStr">
        <is>
          <t>home_km_max_mean</t>
        </is>
      </c>
    </row>
    <row r="34">
      <c r="A34" s="13" t="n">
        <v>33</v>
      </c>
      <c r="B34" s="13" t="inlineStr">
        <is>
          <t>home_km_max_mean</t>
        </is>
      </c>
      <c r="C34" s="13" t="inlineStr">
        <is>
          <t>이동량·공간범위</t>
        </is>
      </c>
      <c r="D34" s="13" t="inlineStr">
        <is>
          <t>모항·항구 거리</t>
        </is>
      </c>
      <c r="E34" s="13" t="inlineStr">
        <is>
          <t>home_km_max</t>
        </is>
      </c>
      <c r="F34" s="14" t="inlineStr">
        <is>
          <t>모항에서 최대 거리(km)</t>
        </is>
      </c>
      <c r="G34" s="14" t="inlineStr">
        <is>
          <t>출어일 값들의 평균</t>
        </is>
      </c>
      <c r="H34" s="13" t="inlineStr">
        <is>
          <t>L2→L3</t>
        </is>
      </c>
      <c r="I34" s="13" t="inlineStr">
        <is>
          <t>민성·나연</t>
        </is>
      </c>
      <c r="J34" s="13" t="inlineStr"/>
      <c r="K34" s="13" t="inlineStr"/>
      <c r="L34" s="13" t="inlineStr">
        <is>
          <t>O</t>
        </is>
      </c>
      <c r="M34" s="13" t="inlineStr">
        <is>
          <t>O</t>
        </is>
      </c>
      <c r="N34" s="13" t="inlineStr">
        <is>
          <t>O</t>
        </is>
      </c>
      <c r="O34" s="15" t="n">
        <v>0.4</v>
      </c>
      <c r="P34" s="15" t="n">
        <v>0.4</v>
      </c>
      <c r="Q34" s="13" t="n">
        <v>253</v>
      </c>
      <c r="R34" s="13" t="n">
        <v>24</v>
      </c>
      <c r="S34" s="13" t="inlineStr">
        <is>
          <t>day_bbox_diag_km_mean</t>
        </is>
      </c>
    </row>
    <row r="35">
      <c r="A35" s="6" t="n">
        <v>34</v>
      </c>
      <c r="B35" s="6" t="inlineStr">
        <is>
          <t>home_km_mean_mean</t>
        </is>
      </c>
      <c r="C35" s="6" t="inlineStr">
        <is>
          <t>이동량·공간범위</t>
        </is>
      </c>
      <c r="D35" s="6" t="inlineStr">
        <is>
          <t>모항·항구 거리</t>
        </is>
      </c>
      <c r="E35" s="6" t="inlineStr">
        <is>
          <t>home_km_mean</t>
        </is>
      </c>
      <c r="F35" s="7" t="inlineStr">
        <is>
          <t>모항에서 평균 거리(km)</t>
        </is>
      </c>
      <c r="G35" s="7" t="inlineStr">
        <is>
          <t>출어일 값들의 평균</t>
        </is>
      </c>
      <c r="H35" s="6" t="inlineStr">
        <is>
          <t>L2→L3</t>
        </is>
      </c>
      <c r="I35" s="6" t="inlineStr">
        <is>
          <t>나연</t>
        </is>
      </c>
      <c r="J35" s="6" t="inlineStr"/>
      <c r="K35" s="6" t="inlineStr"/>
      <c r="L35" s="6" t="inlineStr">
        <is>
          <t>O</t>
        </is>
      </c>
      <c r="M35" s="6" t="inlineStr">
        <is>
          <t>O</t>
        </is>
      </c>
      <c r="N35" s="6" t="inlineStr"/>
      <c r="O35" s="12" t="n">
        <v>0.6</v>
      </c>
      <c r="P35" s="12" t="n">
        <v>0.2</v>
      </c>
      <c r="Q35" s="6" t="n">
        <v>227</v>
      </c>
      <c r="R35" s="6" t="n">
        <v>50</v>
      </c>
      <c r="S35" s="6" t="inlineStr">
        <is>
          <t>home_km_mean_median</t>
        </is>
      </c>
    </row>
    <row r="36">
      <c r="A36" s="6" t="n">
        <v>35</v>
      </c>
      <c r="B36" s="6" t="inlineStr">
        <is>
          <t>in_port_ratio_mean</t>
        </is>
      </c>
      <c r="C36" s="6" t="inlineStr">
        <is>
          <t>시간 사용·항차</t>
        </is>
      </c>
      <c r="D36" s="6" t="inlineStr">
        <is>
          <t>상태별 시간 비율</t>
        </is>
      </c>
      <c r="E36" s="6" t="inlineStr">
        <is>
          <t>in_port_ratio</t>
        </is>
      </c>
      <c r="F36" s="7" t="inlineStr">
        <is>
          <t>항구 정박 시간 비율</t>
        </is>
      </c>
      <c r="G36" s="7" t="inlineStr">
        <is>
          <t>출어일 값들의 평균</t>
        </is>
      </c>
      <c r="H36" s="6" t="inlineStr">
        <is>
          <t>L2→L3</t>
        </is>
      </c>
      <c r="I36" s="6" t="inlineStr">
        <is>
          <t>나연·민성</t>
        </is>
      </c>
      <c r="J36" s="6" t="inlineStr"/>
      <c r="K36" s="6" t="inlineStr"/>
      <c r="L36" s="6" t="inlineStr">
        <is>
          <t>O</t>
        </is>
      </c>
      <c r="M36" s="6" t="inlineStr">
        <is>
          <t>O</t>
        </is>
      </c>
      <c r="N36" s="6" t="inlineStr"/>
      <c r="O36" s="12" t="n">
        <v>1</v>
      </c>
      <c r="P36" s="12" t="n">
        <v>0</v>
      </c>
      <c r="Q36" s="6" t="n">
        <v>170</v>
      </c>
      <c r="R36" s="6" t="n">
        <v>251</v>
      </c>
      <c r="S36" s="6" t="inlineStr">
        <is>
          <t>in_port_ratio_median</t>
        </is>
      </c>
    </row>
    <row r="37">
      <c r="A37" s="6" t="n">
        <v>36</v>
      </c>
      <c r="B37" s="6" t="inlineStr">
        <is>
          <t>sea_stop_share_mean</t>
        </is>
      </c>
      <c r="C37" s="6" t="inlineStr">
        <is>
          <t>시간 사용·항차</t>
        </is>
      </c>
      <c r="D37" s="6" t="inlineStr">
        <is>
          <t>상태별 시간 비율</t>
        </is>
      </c>
      <c r="E37" s="6" t="inlineStr">
        <is>
          <t>sea_stop_share</t>
        </is>
      </c>
      <c r="F37" s="7" t="inlineStr">
        <is>
          <t>해상 정지 시간 비율</t>
        </is>
      </c>
      <c r="G37" s="7" t="inlineStr">
        <is>
          <t>출어일 값들의 평균</t>
        </is>
      </c>
      <c r="H37" s="6" t="inlineStr">
        <is>
          <t>L2→L3</t>
        </is>
      </c>
      <c r="I37" s="6" t="inlineStr">
        <is>
          <t>민성</t>
        </is>
      </c>
      <c r="J37" s="6" t="inlineStr"/>
      <c r="K37" s="6" t="inlineStr"/>
      <c r="L37" s="6" t="inlineStr">
        <is>
          <t>O</t>
        </is>
      </c>
      <c r="M37" s="6" t="inlineStr">
        <is>
          <t>O</t>
        </is>
      </c>
      <c r="N37" s="6" t="inlineStr"/>
      <c r="O37" s="12" t="n">
        <v>1</v>
      </c>
      <c r="P37" s="12" t="n">
        <v>0.2</v>
      </c>
      <c r="Q37" s="6" t="n">
        <v>59</v>
      </c>
      <c r="R37" s="6" t="n">
        <v>51</v>
      </c>
      <c r="S37" s="6" t="inlineStr"/>
    </row>
    <row r="38">
      <c r="A38" s="6" t="n">
        <v>37</v>
      </c>
      <c r="B38" s="6" t="inlineStr">
        <is>
          <t>drift_share_mean</t>
        </is>
      </c>
      <c r="C38" s="6" t="inlineStr">
        <is>
          <t>시간 사용·항차</t>
        </is>
      </c>
      <c r="D38" s="6" t="inlineStr">
        <is>
          <t>상태별 시간 비율</t>
        </is>
      </c>
      <c r="E38" s="6" t="inlineStr">
        <is>
          <t>drift_share</t>
        </is>
      </c>
      <c r="F38" s="7" t="inlineStr">
        <is>
          <t>표류(0.3~2kn) 시간 비율 (전체 기간)</t>
        </is>
      </c>
      <c r="G38" s="7" t="inlineStr">
        <is>
          <t>출어일 값들의 평균</t>
        </is>
      </c>
      <c r="H38" s="6" t="inlineStr">
        <is>
          <t>L2→L3</t>
        </is>
      </c>
      <c r="I38" s="6" t="inlineStr">
        <is>
          <t>민성</t>
        </is>
      </c>
      <c r="J38" s="6" t="inlineStr"/>
      <c r="K38" s="6" t="inlineStr">
        <is>
          <t>가설 관련</t>
        </is>
      </c>
      <c r="L38" s="6" t="inlineStr">
        <is>
          <t>O</t>
        </is>
      </c>
      <c r="M38" s="6" t="inlineStr">
        <is>
          <t>O</t>
        </is>
      </c>
      <c r="N38" s="6" t="inlineStr"/>
      <c r="O38" s="12" t="n">
        <v>1</v>
      </c>
      <c r="P38" s="12" t="n">
        <v>0</v>
      </c>
      <c r="Q38" s="6" t="n">
        <v>89</v>
      </c>
      <c r="R38" s="6" t="n">
        <v>199</v>
      </c>
      <c r="S38" s="6" t="inlineStr"/>
    </row>
    <row r="39">
      <c r="A39" s="6" t="n">
        <v>38</v>
      </c>
      <c r="B39" s="6" t="inlineStr">
        <is>
          <t>fish_share_mean</t>
        </is>
      </c>
      <c r="C39" s="6" t="inlineStr">
        <is>
          <t>시간 사용·항차</t>
        </is>
      </c>
      <c r="D39" s="6" t="inlineStr">
        <is>
          <t>상태별 시간 비율</t>
        </is>
      </c>
      <c r="E39" s="6" t="inlineStr">
        <is>
          <t>fish_share</t>
        </is>
      </c>
      <c r="F39" s="7" t="inlineStr">
        <is>
          <t>조업속도(2~5kn) 시간 비율</t>
        </is>
      </c>
      <c r="G39" s="7" t="inlineStr">
        <is>
          <t>출어일 값들의 평균</t>
        </is>
      </c>
      <c r="H39" s="6" t="inlineStr">
        <is>
          <t>L2→L3</t>
        </is>
      </c>
      <c r="I39" s="6" t="inlineStr">
        <is>
          <t>민성</t>
        </is>
      </c>
      <c r="J39" s="6" t="inlineStr"/>
      <c r="K39" s="6" t="inlineStr"/>
      <c r="L39" s="6" t="inlineStr">
        <is>
          <t>O</t>
        </is>
      </c>
      <c r="M39" s="6" t="inlineStr">
        <is>
          <t>O</t>
        </is>
      </c>
      <c r="N39" s="6" t="inlineStr"/>
      <c r="O39" s="12" t="n">
        <v>1</v>
      </c>
      <c r="P39" s="12" t="n">
        <v>0</v>
      </c>
      <c r="Q39" s="6" t="n">
        <v>164</v>
      </c>
      <c r="R39" s="6" t="n">
        <v>316</v>
      </c>
      <c r="S39" s="6" t="inlineStr"/>
    </row>
    <row r="40">
      <c r="A40" s="6" t="n">
        <v>39</v>
      </c>
      <c r="B40" s="6" t="inlineStr">
        <is>
          <t>transit_share_mean</t>
        </is>
      </c>
      <c r="C40" s="6" t="inlineStr">
        <is>
          <t>시간 사용·항차</t>
        </is>
      </c>
      <c r="D40" s="6" t="inlineStr">
        <is>
          <t>상태별 시간 비율</t>
        </is>
      </c>
      <c r="E40" s="6" t="inlineStr">
        <is>
          <t>transit_share</t>
        </is>
      </c>
      <c r="F40" s="7" t="inlineStr">
        <is>
          <t>항해(&gt;5kn, 직선) 시간 비율 (전체 기간)</t>
        </is>
      </c>
      <c r="G40" s="7" t="inlineStr">
        <is>
          <t>출어일 값들의 평균</t>
        </is>
      </c>
      <c r="H40" s="6" t="inlineStr">
        <is>
          <t>L2→L3</t>
        </is>
      </c>
      <c r="I40" s="6" t="inlineStr">
        <is>
          <t>민성</t>
        </is>
      </c>
      <c r="J40" s="6" t="inlineStr"/>
      <c r="K40" s="6" t="inlineStr"/>
      <c r="L40" s="6" t="inlineStr">
        <is>
          <t>O</t>
        </is>
      </c>
      <c r="M40" s="6" t="inlineStr">
        <is>
          <t>O</t>
        </is>
      </c>
      <c r="N40" s="6" t="inlineStr"/>
      <c r="O40" s="12" t="n">
        <v>0.4</v>
      </c>
      <c r="P40" s="12" t="n">
        <v>0</v>
      </c>
      <c r="Q40" s="6" t="n">
        <v>269</v>
      </c>
      <c r="R40" s="6" t="n">
        <v>287</v>
      </c>
      <c r="S40" s="6" t="inlineStr">
        <is>
          <t>transit_share</t>
        </is>
      </c>
    </row>
    <row r="41">
      <c r="A41" s="6" t="n">
        <v>40</v>
      </c>
      <c r="B41" s="6" t="inlineStr">
        <is>
          <t>n_transitions_mean</t>
        </is>
      </c>
      <c r="C41" s="6" t="inlineStr">
        <is>
          <t>시간 사용·항차</t>
        </is>
      </c>
      <c r="D41" s="6" t="inlineStr">
        <is>
          <t>상태 전환</t>
        </is>
      </c>
      <c r="E41" s="6" t="inlineStr">
        <is>
          <t>n_transitions</t>
        </is>
      </c>
      <c r="F41" s="7" t="inlineStr">
        <is>
          <t>시간대 상태 전환 횟수</t>
        </is>
      </c>
      <c r="G41" s="7" t="inlineStr">
        <is>
          <t>출어일 값들의 평균</t>
        </is>
      </c>
      <c r="H41" s="6" t="inlineStr">
        <is>
          <t>L2→L3</t>
        </is>
      </c>
      <c r="I41" s="6" t="inlineStr">
        <is>
          <t>민성</t>
        </is>
      </c>
      <c r="J41" s="6" t="inlineStr"/>
      <c r="K41" s="6" t="inlineStr"/>
      <c r="L41" s="6" t="inlineStr">
        <is>
          <t>O</t>
        </is>
      </c>
      <c r="M41" s="6" t="inlineStr">
        <is>
          <t>O</t>
        </is>
      </c>
      <c r="N41" s="6" t="inlineStr"/>
      <c r="O41" s="12" t="n">
        <v>0.2</v>
      </c>
      <c r="P41" s="12" t="n">
        <v>0</v>
      </c>
      <c r="Q41" s="6" t="n">
        <v>294</v>
      </c>
      <c r="R41" s="6" t="n">
        <v>269</v>
      </c>
      <c r="S41" s="6" t="inlineStr">
        <is>
          <t>transitions_per_day</t>
        </is>
      </c>
    </row>
    <row r="42">
      <c r="A42" s="6" t="n">
        <v>41</v>
      </c>
      <c r="B42" s="6" t="inlineStr">
        <is>
          <t>departures_mean</t>
        </is>
      </c>
      <c r="C42" s="6" t="inlineStr">
        <is>
          <t>시간 사용·항차</t>
        </is>
      </c>
      <c r="D42" s="6" t="inlineStr">
        <is>
          <t>항차(출항~귀항)</t>
        </is>
      </c>
      <c r="E42" s="6" t="inlineStr">
        <is>
          <t>departures</t>
        </is>
      </c>
      <c r="F42" s="7" t="inlineStr">
        <is>
          <t>출항 횟수 (항구→비항구)</t>
        </is>
      </c>
      <c r="G42" s="7" t="inlineStr">
        <is>
          <t>출어일 값들의 평균</t>
        </is>
      </c>
      <c r="H42" s="6" t="inlineStr">
        <is>
          <t>L2→L3</t>
        </is>
      </c>
      <c r="I42" s="6" t="inlineStr">
        <is>
          <t>민성</t>
        </is>
      </c>
      <c r="J42" s="6" t="inlineStr"/>
      <c r="K42" s="6" t="inlineStr"/>
      <c r="L42" s="6" t="inlineStr">
        <is>
          <t>O</t>
        </is>
      </c>
      <c r="M42" s="6" t="inlineStr">
        <is>
          <t>O</t>
        </is>
      </c>
      <c r="N42" s="6" t="inlineStr"/>
      <c r="O42" s="12" t="n">
        <v>0.2</v>
      </c>
      <c r="P42" s="12" t="n">
        <v>0</v>
      </c>
      <c r="Q42" s="6" t="n">
        <v>284</v>
      </c>
      <c r="R42" s="6" t="n">
        <v>326</v>
      </c>
      <c r="S42" s="6" t="inlineStr">
        <is>
          <t>trips_per_day</t>
        </is>
      </c>
    </row>
    <row r="43">
      <c r="A43" s="13" t="n">
        <v>42</v>
      </c>
      <c r="B43" s="13" t="inlineStr">
        <is>
          <t>longest_streak_mean</t>
        </is>
      </c>
      <c r="C43" s="13" t="inlineStr">
        <is>
          <t>하루 리듬·시각(E)</t>
        </is>
      </c>
      <c r="D43" s="13" t="inlineStr">
        <is>
          <t>이동 블록 구조</t>
        </is>
      </c>
      <c r="E43" s="13" t="inlineStr">
        <is>
          <t>longest_streak</t>
        </is>
      </c>
      <c r="F43" s="14" t="inlineStr">
        <is>
          <t>최장 연속 이동 시간 수</t>
        </is>
      </c>
      <c r="G43" s="14" t="inlineStr">
        <is>
          <t>출어일 값들의 평균</t>
        </is>
      </c>
      <c r="H43" s="13" t="inlineStr">
        <is>
          <t>L2→L3</t>
        </is>
      </c>
      <c r="I43" s="13" t="inlineStr">
        <is>
          <t>민성·가설 E</t>
        </is>
      </c>
      <c r="J43" s="13" t="inlineStr"/>
      <c r="K43" s="13" t="inlineStr">
        <is>
          <t>가설 E(하루 리듬)</t>
        </is>
      </c>
      <c r="L43" s="13" t="inlineStr">
        <is>
          <t>O</t>
        </is>
      </c>
      <c r="M43" s="13" t="inlineStr">
        <is>
          <t>O</t>
        </is>
      </c>
      <c r="N43" s="13" t="inlineStr">
        <is>
          <t>O</t>
        </is>
      </c>
      <c r="O43" s="15" t="n">
        <v>1</v>
      </c>
      <c r="P43" s="15" t="n">
        <v>0.8</v>
      </c>
      <c r="Q43" s="13" t="n">
        <v>2</v>
      </c>
      <c r="R43" s="13" t="n">
        <v>7</v>
      </c>
      <c r="S43" s="13" t="inlineStr"/>
    </row>
    <row r="44">
      <c r="A44" s="6" t="n">
        <v>43</v>
      </c>
      <c r="B44" s="6" t="inlineStr">
        <is>
          <t>active_block_count_mean</t>
        </is>
      </c>
      <c r="C44" s="6" t="inlineStr">
        <is>
          <t>하루 리듬·시각(E)</t>
        </is>
      </c>
      <c r="D44" s="6" t="inlineStr">
        <is>
          <t>이동 블록 구조</t>
        </is>
      </c>
      <c r="E44" s="6" t="inlineStr">
        <is>
          <t>active_block_count</t>
        </is>
      </c>
      <c r="F44" s="7" t="inlineStr">
        <is>
          <t>이동 블록 수 (투망·양망 블록)</t>
        </is>
      </c>
      <c r="G44" s="7" t="inlineStr">
        <is>
          <t>출어일 값들의 평균</t>
        </is>
      </c>
      <c r="H44" s="6" t="inlineStr">
        <is>
          <t>L2→L3</t>
        </is>
      </c>
      <c r="I44" s="6" t="inlineStr">
        <is>
          <t>가설 E</t>
        </is>
      </c>
      <c r="J44" s="6" t="inlineStr"/>
      <c r="K44" s="6" t="inlineStr">
        <is>
          <t>가설 E(하루 리듬)</t>
        </is>
      </c>
      <c r="L44" s="6" t="inlineStr">
        <is>
          <t>O</t>
        </is>
      </c>
      <c r="M44" s="6" t="inlineStr">
        <is>
          <t>O</t>
        </is>
      </c>
      <c r="N44" s="6" t="inlineStr"/>
      <c r="O44" s="12" t="n">
        <v>1</v>
      </c>
      <c r="P44" s="12" t="n">
        <v>0</v>
      </c>
      <c r="Q44" s="6" t="n">
        <v>53</v>
      </c>
      <c r="R44" s="6" t="n">
        <v>203</v>
      </c>
      <c r="S44" s="6" t="inlineStr"/>
    </row>
    <row r="45">
      <c r="A45" s="6" t="n">
        <v>44</v>
      </c>
      <c r="B45" s="6" t="inlineStr">
        <is>
          <t>max_block_gap_h_mean</t>
        </is>
      </c>
      <c r="C45" s="6" t="inlineStr">
        <is>
          <t>하루 리듬·시각(E)</t>
        </is>
      </c>
      <c r="D45" s="6" t="inlineStr">
        <is>
          <t>이동 블록 구조</t>
        </is>
      </c>
      <c r="E45" s="6" t="inlineStr">
        <is>
          <t>max_block_gap_h</t>
        </is>
      </c>
      <c r="F45" s="7" t="inlineStr">
        <is>
          <t>이동 블록 사이 최대 휴식(시간)</t>
        </is>
      </c>
      <c r="G45" s="7" t="inlineStr">
        <is>
          <t>출어일 값들의 평균</t>
        </is>
      </c>
      <c r="H45" s="6" t="inlineStr">
        <is>
          <t>L2→L3</t>
        </is>
      </c>
      <c r="I45" s="6" t="inlineStr">
        <is>
          <t>가설 E</t>
        </is>
      </c>
      <c r="J45" s="6" t="inlineStr"/>
      <c r="K45" s="6" t="inlineStr">
        <is>
          <t>가설 E(하루 리듬)</t>
        </is>
      </c>
      <c r="L45" s="6" t="inlineStr">
        <is>
          <t>O</t>
        </is>
      </c>
      <c r="M45" s="6" t="inlineStr">
        <is>
          <t>O</t>
        </is>
      </c>
      <c r="N45" s="6" t="inlineStr"/>
      <c r="O45" s="12" t="n">
        <v>1</v>
      </c>
      <c r="P45" s="12" t="n">
        <v>0.2</v>
      </c>
      <c r="Q45" s="6" t="n">
        <v>26</v>
      </c>
      <c r="R45" s="6" t="n">
        <v>43</v>
      </c>
      <c r="S45" s="6" t="inlineStr"/>
    </row>
    <row r="46">
      <c r="A46" s="6" t="n">
        <v>45</v>
      </c>
      <c r="B46" s="6" t="inlineStr">
        <is>
          <t>mv_first_hour_mean</t>
        </is>
      </c>
      <c r="C46" s="6" t="inlineStr">
        <is>
          <t>하루 리듬·시각(E)</t>
        </is>
      </c>
      <c r="D46" s="6" t="inlineStr">
        <is>
          <t>시작·종료 시각</t>
        </is>
      </c>
      <c r="E46" s="6" t="inlineStr">
        <is>
          <t>mv_first_hour</t>
        </is>
      </c>
      <c r="F46" s="7" t="inlineStr">
        <is>
          <t>조업(이동) 시작 시각</t>
        </is>
      </c>
      <c r="G46" s="7" t="inlineStr">
        <is>
          <t>출어일 값들의 평균</t>
        </is>
      </c>
      <c r="H46" s="6" t="inlineStr">
        <is>
          <t>L2→L3</t>
        </is>
      </c>
      <c r="I46" s="6" t="inlineStr">
        <is>
          <t>나연</t>
        </is>
      </c>
      <c r="J46" s="6" t="inlineStr"/>
      <c r="K46" s="6" t="inlineStr"/>
      <c r="L46" s="6" t="inlineStr">
        <is>
          <t>O</t>
        </is>
      </c>
      <c r="M46" s="6" t="inlineStr">
        <is>
          <t>O</t>
        </is>
      </c>
      <c r="N46" s="6" t="inlineStr"/>
      <c r="O46" s="12" t="n">
        <v>0.4</v>
      </c>
      <c r="P46" s="12" t="n">
        <v>0</v>
      </c>
      <c r="Q46" s="6" t="n">
        <v>261</v>
      </c>
      <c r="R46" s="6" t="n">
        <v>136</v>
      </c>
      <c r="S46" s="6" t="inlineStr">
        <is>
          <t>departure_hour_q50</t>
        </is>
      </c>
    </row>
    <row r="47">
      <c r="A47" s="13" t="n">
        <v>46</v>
      </c>
      <c r="B47" s="13" t="inlineStr">
        <is>
          <t>mv_last_hour_mean</t>
        </is>
      </c>
      <c r="C47" s="13" t="inlineStr">
        <is>
          <t>하루 리듬·시각(E)</t>
        </is>
      </c>
      <c r="D47" s="13" t="inlineStr">
        <is>
          <t>시작·종료 시각</t>
        </is>
      </c>
      <c r="E47" s="13" t="inlineStr">
        <is>
          <t>mv_last_hour</t>
        </is>
      </c>
      <c r="F47" s="14" t="inlineStr">
        <is>
          <t>조업(이동) 종료 시각</t>
        </is>
      </c>
      <c r="G47" s="14" t="inlineStr">
        <is>
          <t>출어일 값들의 평균</t>
        </is>
      </c>
      <c r="H47" s="13" t="inlineStr">
        <is>
          <t>L2→L3</t>
        </is>
      </c>
      <c r="I47" s="13" t="inlineStr">
        <is>
          <t>나연</t>
        </is>
      </c>
      <c r="J47" s="13" t="inlineStr"/>
      <c r="K47" s="13" t="inlineStr"/>
      <c r="L47" s="13" t="inlineStr">
        <is>
          <t>O</t>
        </is>
      </c>
      <c r="M47" s="13" t="inlineStr">
        <is>
          <t>O</t>
        </is>
      </c>
      <c r="N47" s="13" t="inlineStr">
        <is>
          <t>O</t>
        </is>
      </c>
      <c r="O47" s="15" t="n">
        <v>1</v>
      </c>
      <c r="P47" s="15" t="n">
        <v>0.4</v>
      </c>
      <c r="Q47" s="13" t="n">
        <v>15</v>
      </c>
      <c r="R47" s="13" t="n">
        <v>27</v>
      </c>
      <c r="S47" s="13" t="inlineStr"/>
    </row>
    <row r="48">
      <c r="A48" s="6" t="n">
        <v>47</v>
      </c>
      <c r="B48" s="6" t="inlineStr">
        <is>
          <t>mv_span_h_mean</t>
        </is>
      </c>
      <c r="C48" s="6" t="inlineStr">
        <is>
          <t>하루 리듬·시각(E)</t>
        </is>
      </c>
      <c r="D48" s="6" t="inlineStr">
        <is>
          <t>조업 시간 폭</t>
        </is>
      </c>
      <c r="E48" s="6" t="inlineStr">
        <is>
          <t>mv_span_h</t>
        </is>
      </c>
      <c r="F48" s="7" t="inlineStr">
        <is>
          <t>조업 시간 폭 (첫~마지막 이동)</t>
        </is>
      </c>
      <c r="G48" s="7" t="inlineStr">
        <is>
          <t>출어일 값들의 평균</t>
        </is>
      </c>
      <c r="H48" s="6" t="inlineStr">
        <is>
          <t>L2→L3</t>
        </is>
      </c>
      <c r="I48" s="6" t="inlineStr">
        <is>
          <t>나연·민성</t>
        </is>
      </c>
      <c r="J48" s="6" t="inlineStr"/>
      <c r="K48" s="6" t="inlineStr"/>
      <c r="L48" s="6" t="inlineStr">
        <is>
          <t>O</t>
        </is>
      </c>
      <c r="M48" s="6" t="inlineStr">
        <is>
          <t>O</t>
        </is>
      </c>
      <c r="N48" s="6" t="inlineStr"/>
      <c r="O48" s="12" t="n">
        <v>1</v>
      </c>
      <c r="P48" s="12" t="n">
        <v>0</v>
      </c>
      <c r="Q48" s="6" t="n">
        <v>113</v>
      </c>
      <c r="R48" s="6" t="n">
        <v>222</v>
      </c>
      <c r="S48" s="6" t="inlineStr"/>
    </row>
    <row r="49">
      <c r="A49" s="6" t="n">
        <v>48</v>
      </c>
      <c r="B49" s="6" t="inlineStr">
        <is>
          <t>mv_share_dawn_mean</t>
        </is>
      </c>
      <c r="C49" s="6" t="inlineStr">
        <is>
          <t>하루 리듬·시각(E)</t>
        </is>
      </c>
      <c r="D49" s="6" t="inlineStr">
        <is>
          <t>시간대 비중</t>
        </is>
      </c>
      <c r="E49" s="6" t="inlineStr">
        <is>
          <t>mv_share_dawn</t>
        </is>
      </c>
      <c r="F49" s="7" t="inlineStr">
        <is>
          <t>이동 시간 중 새벽(0~5시) 비중</t>
        </is>
      </c>
      <c r="G49" s="7" t="inlineStr">
        <is>
          <t>출어일 값들의 평균</t>
        </is>
      </c>
      <c r="H49" s="6" t="inlineStr">
        <is>
          <t>L2→L3</t>
        </is>
      </c>
      <c r="I49" s="6" t="inlineStr">
        <is>
          <t>나연</t>
        </is>
      </c>
      <c r="J49" s="6" t="inlineStr"/>
      <c r="K49" s="6" t="inlineStr"/>
      <c r="L49" s="6" t="inlineStr">
        <is>
          <t>O</t>
        </is>
      </c>
      <c r="M49" s="6" t="inlineStr">
        <is>
          <t>O</t>
        </is>
      </c>
      <c r="N49" s="6" t="inlineStr"/>
      <c r="O49" s="12" t="n">
        <v>1</v>
      </c>
      <c r="P49" s="12" t="n">
        <v>0</v>
      </c>
      <c r="Q49" s="6" t="n">
        <v>30</v>
      </c>
      <c r="R49" s="6" t="n">
        <v>116</v>
      </c>
      <c r="S49" s="6" t="inlineStr"/>
    </row>
    <row r="50">
      <c r="A50" s="6" t="n">
        <v>49</v>
      </c>
      <c r="B50" s="6" t="inlineStr">
        <is>
          <t>mv_share_morning_mean</t>
        </is>
      </c>
      <c r="C50" s="6" t="inlineStr">
        <is>
          <t>하루 리듬·시각(E)</t>
        </is>
      </c>
      <c r="D50" s="6" t="inlineStr">
        <is>
          <t>시간대 비중</t>
        </is>
      </c>
      <c r="E50" s="6" t="inlineStr">
        <is>
          <t>mv_share_morning</t>
        </is>
      </c>
      <c r="F50" s="7" t="inlineStr">
        <is>
          <t>이동 시간 중 오전(6~11시) 비중</t>
        </is>
      </c>
      <c r="G50" s="7" t="inlineStr">
        <is>
          <t>출어일 값들의 평균</t>
        </is>
      </c>
      <c r="H50" s="6" t="inlineStr">
        <is>
          <t>L2→L3</t>
        </is>
      </c>
      <c r="I50" s="6" t="inlineStr">
        <is>
          <t>나연</t>
        </is>
      </c>
      <c r="J50" s="6" t="inlineStr"/>
      <c r="K50" s="6" t="inlineStr"/>
      <c r="L50" s="6" t="inlineStr">
        <is>
          <t>O</t>
        </is>
      </c>
      <c r="M50" s="6" t="inlineStr">
        <is>
          <t>O</t>
        </is>
      </c>
      <c r="N50" s="6" t="inlineStr"/>
      <c r="O50" s="12" t="n">
        <v>1</v>
      </c>
      <c r="P50" s="12" t="n">
        <v>0</v>
      </c>
      <c r="Q50" s="6" t="n">
        <v>85</v>
      </c>
      <c r="R50" s="6" t="n">
        <v>113</v>
      </c>
      <c r="S50" s="6" t="inlineStr"/>
    </row>
    <row r="51">
      <c r="A51" s="6" t="n">
        <v>50</v>
      </c>
      <c r="B51" s="6" t="inlineStr">
        <is>
          <t>mv_share_afternoon_mean</t>
        </is>
      </c>
      <c r="C51" s="6" t="inlineStr">
        <is>
          <t>하루 리듬·시각(E)</t>
        </is>
      </c>
      <c r="D51" s="6" t="inlineStr">
        <is>
          <t>시간대 비중</t>
        </is>
      </c>
      <c r="E51" s="6" t="inlineStr">
        <is>
          <t>mv_share_afternoon</t>
        </is>
      </c>
      <c r="F51" s="7" t="inlineStr">
        <is>
          <t>이동 시간 중 오후(12~17시) 비중</t>
        </is>
      </c>
      <c r="G51" s="7" t="inlineStr">
        <is>
          <t>출어일 값들의 평균</t>
        </is>
      </c>
      <c r="H51" s="6" t="inlineStr">
        <is>
          <t>L2→L3</t>
        </is>
      </c>
      <c r="I51" s="6" t="inlineStr">
        <is>
          <t>나연</t>
        </is>
      </c>
      <c r="J51" s="6" t="inlineStr"/>
      <c r="K51" s="6" t="inlineStr"/>
      <c r="L51" s="6" t="inlineStr">
        <is>
          <t>O</t>
        </is>
      </c>
      <c r="M51" s="6" t="inlineStr">
        <is>
          <t>O</t>
        </is>
      </c>
      <c r="N51" s="6" t="inlineStr"/>
      <c r="O51" s="12" t="n">
        <v>1</v>
      </c>
      <c r="P51" s="12" t="n">
        <v>0.2</v>
      </c>
      <c r="Q51" s="6" t="n">
        <v>37</v>
      </c>
      <c r="R51" s="6" t="n">
        <v>60</v>
      </c>
      <c r="S51" s="6" t="inlineStr"/>
    </row>
    <row r="52">
      <c r="A52" s="13" t="n">
        <v>51</v>
      </c>
      <c r="B52" s="13" t="inlineStr">
        <is>
          <t>mv_share_night_mean</t>
        </is>
      </c>
      <c r="C52" s="13" t="inlineStr">
        <is>
          <t>하루 리듬·시각(E)</t>
        </is>
      </c>
      <c r="D52" s="13" t="inlineStr">
        <is>
          <t>시간대 비중</t>
        </is>
      </c>
      <c r="E52" s="13" t="inlineStr">
        <is>
          <t>mv_share_night</t>
        </is>
      </c>
      <c r="F52" s="14" t="inlineStr">
        <is>
          <t>이동 시간 중 밤(18~23시) 비중</t>
        </is>
      </c>
      <c r="G52" s="14" t="inlineStr">
        <is>
          <t>출어일 값들의 평균</t>
        </is>
      </c>
      <c r="H52" s="13" t="inlineStr">
        <is>
          <t>L2→L3</t>
        </is>
      </c>
      <c r="I52" s="13" t="inlineStr">
        <is>
          <t>나연</t>
        </is>
      </c>
      <c r="J52" s="13" t="inlineStr"/>
      <c r="K52" s="13" t="inlineStr"/>
      <c r="L52" s="13" t="inlineStr">
        <is>
          <t>O</t>
        </is>
      </c>
      <c r="M52" s="13" t="inlineStr">
        <is>
          <t>O</t>
        </is>
      </c>
      <c r="N52" s="13" t="inlineStr">
        <is>
          <t>O</t>
        </is>
      </c>
      <c r="O52" s="15" t="n">
        <v>1</v>
      </c>
      <c r="P52" s="15" t="n">
        <v>0.6</v>
      </c>
      <c r="Q52" s="13" t="n">
        <v>13</v>
      </c>
      <c r="R52" s="13" t="n">
        <v>16</v>
      </c>
      <c r="S52" s="13" t="inlineStr">
        <is>
          <t>mv_share_night_std</t>
        </is>
      </c>
    </row>
    <row r="53">
      <c r="A53" s="6" t="n">
        <v>52</v>
      </c>
      <c r="B53" s="6" t="inlineStr">
        <is>
          <t>night_ratio_mean</t>
        </is>
      </c>
      <c r="C53" s="6" t="inlineStr">
        <is>
          <t>하루 리듬·시각(E)</t>
        </is>
      </c>
      <c r="D53" s="6" t="inlineStr">
        <is>
          <t>시간대 비중</t>
        </is>
      </c>
      <c r="E53" s="6" t="inlineStr">
        <is>
          <t>night_ratio</t>
        </is>
      </c>
      <c r="F53" s="7" t="inlineStr">
        <is>
          <t>이동 중 야간(18~06시) 비율</t>
        </is>
      </c>
      <c r="G53" s="7" t="inlineStr">
        <is>
          <t>출어일 값들의 평균</t>
        </is>
      </c>
      <c r="H53" s="6" t="inlineStr">
        <is>
          <t>L2→L3</t>
        </is>
      </c>
      <c r="I53" s="6" t="inlineStr">
        <is>
          <t>민성·지유</t>
        </is>
      </c>
      <c r="J53" s="6" t="inlineStr"/>
      <c r="K53" s="6" t="inlineStr"/>
      <c r="L53" s="6" t="inlineStr">
        <is>
          <t>O</t>
        </is>
      </c>
      <c r="M53" s="6" t="inlineStr">
        <is>
          <t>O</t>
        </is>
      </c>
      <c r="N53" s="6" t="inlineStr"/>
      <c r="O53" s="12" t="n">
        <v>0.6</v>
      </c>
      <c r="P53" s="12" t="n">
        <v>0</v>
      </c>
      <c r="Q53" s="6" t="n">
        <v>229</v>
      </c>
      <c r="R53" s="6" t="n">
        <v>152</v>
      </c>
      <c r="S53" s="6" t="inlineStr">
        <is>
          <t>fishing_night_share</t>
        </is>
      </c>
    </row>
    <row r="54">
      <c r="A54" s="6" t="n">
        <v>53</v>
      </c>
      <c r="B54" s="6" t="inlineStr">
        <is>
          <t>inter_hour_jump_med_km_mean</t>
        </is>
      </c>
      <c r="C54" s="6" t="inlineStr">
        <is>
          <t>속도 구조(C)</t>
        </is>
      </c>
      <c r="D54" s="6" t="inlineStr">
        <is>
          <t>시간대 간 점프</t>
        </is>
      </c>
      <c r="E54" s="6" t="inlineStr">
        <is>
          <t>inter_hour_jump_med_km</t>
        </is>
      </c>
      <c r="F54" s="7" t="inlineStr">
        <is>
          <t>연속 시간대 끝→다음 시작 거리 중앙값(km)</t>
        </is>
      </c>
      <c r="G54" s="7" t="inlineStr">
        <is>
          <t>출어일 값들의 평균</t>
        </is>
      </c>
      <c r="H54" s="6" t="inlineStr">
        <is>
          <t>L2→L3</t>
        </is>
      </c>
      <c r="I54" s="6" t="inlineStr">
        <is>
          <t>민성</t>
        </is>
      </c>
      <c r="J54" s="6" t="inlineStr"/>
      <c r="K54" s="6" t="inlineStr"/>
      <c r="L54" s="6" t="inlineStr">
        <is>
          <t>O</t>
        </is>
      </c>
      <c r="M54" s="6" t="inlineStr">
        <is>
          <t>O</t>
        </is>
      </c>
      <c r="N54" s="6" t="inlineStr"/>
      <c r="O54" s="12" t="n">
        <v>1</v>
      </c>
      <c r="P54" s="12" t="n">
        <v>0.2</v>
      </c>
      <c r="Q54" s="6" t="n">
        <v>77</v>
      </c>
      <c r="R54" s="6" t="n">
        <v>76</v>
      </c>
      <c r="S54" s="6" t="inlineStr"/>
    </row>
    <row r="55">
      <c r="A55" s="6" t="n">
        <v>54</v>
      </c>
      <c r="B55" s="6" t="inlineStr">
        <is>
          <t>return_after_absence_mean</t>
        </is>
      </c>
      <c r="C55" s="6" t="inlineStr">
        <is>
          <t>재방문·어장반복(A)</t>
        </is>
      </c>
      <c r="D55" s="6" t="inlineStr">
        <is>
          <t>하루 내 재방문</t>
        </is>
      </c>
      <c r="E55" s="6" t="inlineStr">
        <is>
          <t>return_after_absence</t>
        </is>
      </c>
      <c r="F55" s="7" t="inlineStr">
        <is>
          <t>200m 격자를 2시간 이상 떠났다 돌아온 횟수</t>
        </is>
      </c>
      <c r="G55" s="7" t="inlineStr">
        <is>
          <t>출어일 값들의 평균</t>
        </is>
      </c>
      <c r="H55" s="6" t="inlineStr">
        <is>
          <t>L2→L3</t>
        </is>
      </c>
      <c r="I55" s="6" t="inlineStr">
        <is>
          <t>가설 A</t>
        </is>
      </c>
      <c r="J55" s="6" t="inlineStr"/>
      <c r="K55" s="6" t="inlineStr">
        <is>
          <t>가설 A(재방문)</t>
        </is>
      </c>
      <c r="L55" s="6" t="inlineStr">
        <is>
          <t>O</t>
        </is>
      </c>
      <c r="M55" s="6" t="inlineStr">
        <is>
          <t>O</t>
        </is>
      </c>
      <c r="N55" s="6" t="inlineStr"/>
      <c r="O55" s="12" t="n">
        <v>0.6</v>
      </c>
      <c r="P55" s="12" t="n">
        <v>0</v>
      </c>
      <c r="Q55" s="6" t="n">
        <v>235</v>
      </c>
      <c r="R55" s="6" t="n">
        <v>130</v>
      </c>
      <c r="S55" s="6" t="inlineStr">
        <is>
          <t>return_after_absence_std</t>
        </is>
      </c>
    </row>
    <row r="56">
      <c r="A56" s="13" t="n">
        <v>55</v>
      </c>
      <c r="B56" s="13" t="inlineStr">
        <is>
          <t>revisit_cell_ratio_mean</t>
        </is>
      </c>
      <c r="C56" s="13" t="inlineStr">
        <is>
          <t>재방문·어장반복(A)</t>
        </is>
      </c>
      <c r="D56" s="13" t="inlineStr">
        <is>
          <t>하루 내 재방문</t>
        </is>
      </c>
      <c r="E56" s="13" t="inlineStr">
        <is>
          <t>revisit_cell_ratio</t>
        </is>
      </c>
      <c r="F56" s="14" t="inlineStr">
        <is>
          <t>200m 격자 중 여러 시간대에 방문한 칸 비율</t>
        </is>
      </c>
      <c r="G56" s="14" t="inlineStr">
        <is>
          <t>출어일 값들의 평균</t>
        </is>
      </c>
      <c r="H56" s="13" t="inlineStr">
        <is>
          <t>L2→L3</t>
        </is>
      </c>
      <c r="I56" s="13" t="inlineStr">
        <is>
          <t>가설 A</t>
        </is>
      </c>
      <c r="J56" s="13" t="inlineStr"/>
      <c r="K56" s="13" t="inlineStr">
        <is>
          <t>가설 A(재방문)</t>
        </is>
      </c>
      <c r="L56" s="13" t="inlineStr">
        <is>
          <t>O</t>
        </is>
      </c>
      <c r="M56" s="13" t="inlineStr">
        <is>
          <t>O</t>
        </is>
      </c>
      <c r="N56" s="13" t="inlineStr">
        <is>
          <t>O</t>
        </is>
      </c>
      <c r="O56" s="15" t="n">
        <v>1</v>
      </c>
      <c r="P56" s="15" t="n">
        <v>0.6</v>
      </c>
      <c r="Q56" s="13" t="n">
        <v>8</v>
      </c>
      <c r="R56" s="13" t="n">
        <v>17</v>
      </c>
      <c r="S56" s="13" t="inlineStr"/>
    </row>
    <row r="57">
      <c r="A57" s="6" t="n">
        <v>56</v>
      </c>
      <c r="B57" s="6" t="inlineStr">
        <is>
          <t>top3_cell_share_mean</t>
        </is>
      </c>
      <c r="C57" s="6" t="inlineStr">
        <is>
          <t>재방문·어장반복(A)</t>
        </is>
      </c>
      <c r="D57" s="6" t="inlineStr">
        <is>
          <t>하루 내 재방문</t>
        </is>
      </c>
      <c r="E57" s="6" t="inlineStr">
        <is>
          <t>top3_cell_share</t>
        </is>
      </c>
      <c r="F57" s="7" t="inlineStr">
        <is>
          <t>상위 3칸 체류 비중</t>
        </is>
      </c>
      <c r="G57" s="7" t="inlineStr">
        <is>
          <t>출어일 값들의 평균</t>
        </is>
      </c>
      <c r="H57" s="6" t="inlineStr">
        <is>
          <t>L2→L3</t>
        </is>
      </c>
      <c r="I57" s="6" t="inlineStr">
        <is>
          <t>가설 A</t>
        </is>
      </c>
      <c r="J57" s="6" t="inlineStr"/>
      <c r="K57" s="6" t="inlineStr">
        <is>
          <t>가설 A(재방문)</t>
        </is>
      </c>
      <c r="L57" s="6" t="inlineStr">
        <is>
          <t>O</t>
        </is>
      </c>
      <c r="M57" s="6" t="inlineStr">
        <is>
          <t>O</t>
        </is>
      </c>
      <c r="N57" s="6" t="inlineStr"/>
      <c r="O57" s="12" t="n">
        <v>0.2</v>
      </c>
      <c r="P57" s="12" t="n">
        <v>0</v>
      </c>
      <c r="Q57" s="6" t="n">
        <v>280</v>
      </c>
      <c r="R57" s="6" t="n">
        <v>133</v>
      </c>
      <c r="S57" s="6" t="inlineStr">
        <is>
          <t>top3_cell_share_median</t>
        </is>
      </c>
    </row>
    <row r="58">
      <c r="A58" s="6" t="n">
        <v>57</v>
      </c>
      <c r="B58" s="6" t="inlineStr">
        <is>
          <t>n_cells_200m_mean</t>
        </is>
      </c>
      <c r="C58" s="6" t="inlineStr">
        <is>
          <t>재방문·어장반복(A)</t>
        </is>
      </c>
      <c r="D58" s="6" t="inlineStr">
        <is>
          <t>하루 내 재방문</t>
        </is>
      </c>
      <c r="E58" s="6" t="inlineStr">
        <is>
          <t>n_cells_200m</t>
        </is>
      </c>
      <c r="F58" s="7" t="inlineStr">
        <is>
          <t>방문한 200m 격자 수</t>
        </is>
      </c>
      <c r="G58" s="7" t="inlineStr">
        <is>
          <t>출어일 값들의 평균</t>
        </is>
      </c>
      <c r="H58" s="6" t="inlineStr">
        <is>
          <t>L2→L3</t>
        </is>
      </c>
      <c r="I58" s="6" t="inlineStr">
        <is>
          <t>가설 A</t>
        </is>
      </c>
      <c r="J58" s="6" t="inlineStr"/>
      <c r="K58" s="6" t="inlineStr">
        <is>
          <t>가설 A(재방문)</t>
        </is>
      </c>
      <c r="L58" s="6" t="inlineStr">
        <is>
          <t>O</t>
        </is>
      </c>
      <c r="M58" s="6" t="inlineStr">
        <is>
          <t>O</t>
        </is>
      </c>
      <c r="N58" s="6" t="inlineStr"/>
      <c r="O58" s="12" t="n">
        <v>0</v>
      </c>
      <c r="P58" s="12" t="n">
        <v>0</v>
      </c>
      <c r="Q58" s="6" t="n">
        <v>326</v>
      </c>
      <c r="R58" s="6" t="n">
        <v>257</v>
      </c>
      <c r="S58" s="6" t="inlineStr">
        <is>
          <t>top3_cell_share_median</t>
        </is>
      </c>
    </row>
    <row r="59">
      <c r="A59" s="6" t="n">
        <v>58</v>
      </c>
      <c r="B59" s="6" t="inlineStr">
        <is>
          <t>stationary_ratio_mean</t>
        </is>
      </c>
      <c r="C59" s="6" t="inlineStr">
        <is>
          <t>시간 사용·항차</t>
        </is>
      </c>
      <c r="D59" s="6" t="inlineStr">
        <is>
          <t>상태별 시간 비율</t>
        </is>
      </c>
      <c r="E59" s="6" t="inlineStr">
        <is>
          <t>stationary_ratio</t>
        </is>
      </c>
      <c r="F59" s="7" t="inlineStr">
        <is>
          <t>정박 시간대 비율</t>
        </is>
      </c>
      <c r="G59" s="7" t="inlineStr">
        <is>
          <t>출어일 값들의 평균</t>
        </is>
      </c>
      <c r="H59" s="6" t="inlineStr">
        <is>
          <t>L2→L3</t>
        </is>
      </c>
      <c r="I59" s="6" t="inlineStr">
        <is>
          <t>지유</t>
        </is>
      </c>
      <c r="J59" s="6" t="inlineStr"/>
      <c r="K59" s="6" t="inlineStr"/>
      <c r="L59" s="6" t="inlineStr">
        <is>
          <t>O</t>
        </is>
      </c>
      <c r="M59" s="6" t="inlineStr">
        <is>
          <t>O</t>
        </is>
      </c>
      <c r="N59" s="6" t="inlineStr"/>
      <c r="O59" s="12" t="n">
        <v>0</v>
      </c>
      <c r="P59" s="12" t="n">
        <v>0</v>
      </c>
      <c r="Q59" s="6" t="n">
        <v>325</v>
      </c>
      <c r="R59" s="6" t="n">
        <v>312</v>
      </c>
      <c r="S59" s="6" t="inlineStr">
        <is>
          <t>stationary_ratio_median</t>
        </is>
      </c>
    </row>
    <row r="60">
      <c r="A60" s="6" t="n">
        <v>59</v>
      </c>
      <c r="B60" s="6" t="inlineStr">
        <is>
          <t>n_segments_mean_mean</t>
        </is>
      </c>
      <c r="C60" s="6" t="inlineStr">
        <is>
          <t>품질·기록량</t>
        </is>
      </c>
      <c r="D60" s="6" t="inlineStr">
        <is>
          <t>기록량</t>
        </is>
      </c>
      <c r="E60" s="6" t="inlineStr">
        <is>
          <t>n_segments_mean</t>
        </is>
      </c>
      <c r="F60" s="7" t="inlineStr">
        <is>
          <t>시간당 평균 구간 수</t>
        </is>
      </c>
      <c r="G60" s="7" t="inlineStr">
        <is>
          <t>출어일 값들의 평균</t>
        </is>
      </c>
      <c r="H60" s="6" t="inlineStr">
        <is>
          <t>L2→L3</t>
        </is>
      </c>
      <c r="I60" s="6" t="inlineStr">
        <is>
          <t>나연</t>
        </is>
      </c>
      <c r="J60" s="6" t="inlineStr"/>
      <c r="K60" s="6" t="inlineStr"/>
      <c r="L60" s="6" t="inlineStr">
        <is>
          <t>O</t>
        </is>
      </c>
      <c r="M60" s="6" t="inlineStr">
        <is>
          <t>O</t>
        </is>
      </c>
      <c r="N60" s="6" t="inlineStr"/>
      <c r="O60" s="12" t="n">
        <v>0.2</v>
      </c>
      <c r="P60" s="12" t="n">
        <v>0</v>
      </c>
      <c r="Q60" s="6" t="n">
        <v>293</v>
      </c>
      <c r="R60" s="6" t="n">
        <v>208</v>
      </c>
      <c r="S60" s="6" t="inlineStr">
        <is>
          <t>n_segments_mean_median</t>
        </is>
      </c>
    </row>
    <row r="61">
      <c r="A61" s="6" t="n">
        <v>60</v>
      </c>
      <c r="B61" s="6" t="inlineStr">
        <is>
          <t>mv_sp_mean_mean</t>
        </is>
      </c>
      <c r="C61" s="6" t="inlineStr">
        <is>
          <t>속도 구조(C)</t>
        </is>
      </c>
      <c r="D61" s="6" t="inlineStr">
        <is>
          <t>10분 구간 속도</t>
        </is>
      </c>
      <c r="E61" s="6" t="inlineStr">
        <is>
          <t>sp_mean</t>
        </is>
      </c>
      <c r="F61" s="7" t="inlineStr">
        <is>
          <t>10분 구간 추정속도 평균(kn)</t>
        </is>
      </c>
      <c r="G61" s="7" t="inlineStr">
        <is>
          <t>출어일마다 이동 시간대 평균 → 출어일들의 평균</t>
        </is>
      </c>
      <c r="H61" s="6" t="inlineStr">
        <is>
          <t>L1→L2→L3</t>
        </is>
      </c>
      <c r="I61" s="6" t="inlineStr">
        <is>
          <t>나연·진우</t>
        </is>
      </c>
      <c r="J61" s="6" t="inlineStr"/>
      <c r="K61" s="6" t="inlineStr"/>
      <c r="L61" s="6" t="inlineStr">
        <is>
          <t>O</t>
        </is>
      </c>
      <c r="M61" s="6" t="inlineStr">
        <is>
          <t>O</t>
        </is>
      </c>
      <c r="N61" s="6" t="inlineStr"/>
      <c r="O61" s="12" t="n">
        <v>0.2</v>
      </c>
      <c r="P61" s="12" t="n">
        <v>0</v>
      </c>
      <c r="Q61" s="6" t="n">
        <v>295</v>
      </c>
      <c r="R61" s="6" t="n">
        <v>260</v>
      </c>
      <c r="S61" s="6" t="inlineStr">
        <is>
          <t>mv_sp_mean_median</t>
        </is>
      </c>
    </row>
    <row r="62">
      <c r="A62" s="6" t="n">
        <v>61</v>
      </c>
      <c r="B62" s="6" t="inlineStr">
        <is>
          <t>mv_sp_p90_mean</t>
        </is>
      </c>
      <c r="C62" s="6" t="inlineStr">
        <is>
          <t>속도 구조(C)</t>
        </is>
      </c>
      <c r="D62" s="6" t="inlineStr">
        <is>
          <t>10분 구간 속도</t>
        </is>
      </c>
      <c r="E62" s="6" t="inlineStr">
        <is>
          <t>sp_p90</t>
        </is>
      </c>
      <c r="F62" s="7" t="inlineStr">
        <is>
          <t>10분 속도 90% 분위</t>
        </is>
      </c>
      <c r="G62" s="7" t="inlineStr">
        <is>
          <t>출어일마다 이동 시간대 평균 → 출어일들의 평균</t>
        </is>
      </c>
      <c r="H62" s="6" t="inlineStr">
        <is>
          <t>L1→L2→L3</t>
        </is>
      </c>
      <c r="I62" s="6" t="inlineStr">
        <is>
          <t>나연</t>
        </is>
      </c>
      <c r="J62" s="6" t="inlineStr"/>
      <c r="K62" s="6" t="inlineStr"/>
      <c r="L62" s="6" t="inlineStr">
        <is>
          <t>O</t>
        </is>
      </c>
      <c r="M62" s="6" t="inlineStr">
        <is>
          <t>O</t>
        </is>
      </c>
      <c r="N62" s="6" t="inlineStr"/>
      <c r="O62" s="12" t="n">
        <v>0</v>
      </c>
      <c r="P62" s="12" t="n">
        <v>0</v>
      </c>
      <c r="Q62" s="6" t="n">
        <v>324</v>
      </c>
      <c r="R62" s="6" t="n">
        <v>245</v>
      </c>
      <c r="S62" s="6" t="inlineStr">
        <is>
          <t>mv_sp_mean_median</t>
        </is>
      </c>
    </row>
    <row r="63">
      <c r="A63" s="6" t="n">
        <v>62</v>
      </c>
      <c r="B63" s="6" t="inlineStr">
        <is>
          <t>mv_sp_std_mean</t>
        </is>
      </c>
      <c r="C63" s="6" t="inlineStr">
        <is>
          <t>속도 구조(C)</t>
        </is>
      </c>
      <c r="D63" s="6" t="inlineStr">
        <is>
          <t>10분 구간 속도</t>
        </is>
      </c>
      <c r="E63" s="6" t="inlineStr">
        <is>
          <t>sp_std</t>
        </is>
      </c>
      <c r="F63" s="7" t="inlineStr">
        <is>
          <t>10분 속도 표준편차</t>
        </is>
      </c>
      <c r="G63" s="7" t="inlineStr">
        <is>
          <t>출어일마다 이동 시간대 평균 → 출어일들의 평균</t>
        </is>
      </c>
      <c r="H63" s="6" t="inlineStr">
        <is>
          <t>L1→L2→L3</t>
        </is>
      </c>
      <c r="I63" s="6" t="inlineStr">
        <is>
          <t>나연</t>
        </is>
      </c>
      <c r="J63" s="6" t="inlineStr"/>
      <c r="K63" s="6" t="inlineStr"/>
      <c r="L63" s="6" t="inlineStr">
        <is>
          <t>O</t>
        </is>
      </c>
      <c r="M63" s="6" t="inlineStr">
        <is>
          <t>O</t>
        </is>
      </c>
      <c r="N63" s="6" t="inlineStr"/>
      <c r="O63" s="12" t="n">
        <v>0.6</v>
      </c>
      <c r="P63" s="12" t="n">
        <v>0</v>
      </c>
      <c r="Q63" s="6" t="n">
        <v>233</v>
      </c>
      <c r="R63" s="6" t="n">
        <v>167</v>
      </c>
      <c r="S63" s="6" t="inlineStr"/>
    </row>
    <row r="64">
      <c r="A64" s="6" t="n">
        <v>63</v>
      </c>
      <c r="B64" s="6" t="inlineStr">
        <is>
          <t>mv_sp_change_mean_mean</t>
        </is>
      </c>
      <c r="C64" s="6" t="inlineStr">
        <is>
          <t>속도 구조(C)</t>
        </is>
      </c>
      <c r="D64" s="6" t="inlineStr">
        <is>
          <t>10분 구간 속도</t>
        </is>
      </c>
      <c r="E64" s="6" t="inlineStr">
        <is>
          <t>sp_change_mean</t>
        </is>
      </c>
      <c r="F64" s="7" t="inlineStr">
        <is>
          <t>10분 속도 변화량 평균(가감속)</t>
        </is>
      </c>
      <c r="G64" s="7" t="inlineStr">
        <is>
          <t>출어일마다 이동 시간대 평균 → 출어일들의 평균</t>
        </is>
      </c>
      <c r="H64" s="6" t="inlineStr">
        <is>
          <t>L1→L2→L3</t>
        </is>
      </c>
      <c r="I64" s="6" t="inlineStr">
        <is>
          <t>나연</t>
        </is>
      </c>
      <c r="J64" s="6" t="inlineStr"/>
      <c r="K64" s="6" t="inlineStr"/>
      <c r="L64" s="6" t="inlineStr">
        <is>
          <t>O</t>
        </is>
      </c>
      <c r="M64" s="6" t="inlineStr">
        <is>
          <t>O</t>
        </is>
      </c>
      <c r="N64" s="6" t="inlineStr"/>
      <c r="O64" s="12" t="n">
        <v>0.4</v>
      </c>
      <c r="P64" s="12" t="n">
        <v>0</v>
      </c>
      <c r="Q64" s="6" t="n">
        <v>267</v>
      </c>
      <c r="R64" s="6" t="n">
        <v>331</v>
      </c>
      <c r="S64" s="6" t="inlineStr">
        <is>
          <t>mv_sp_std_mean</t>
        </is>
      </c>
    </row>
    <row r="65">
      <c r="A65" s="6" t="n">
        <v>64</v>
      </c>
      <c r="B65" s="6" t="inlineStr">
        <is>
          <t>mv_frac_slow_mean</t>
        </is>
      </c>
      <c r="C65" s="6" t="inlineStr">
        <is>
          <t>속도 구조(C)</t>
        </is>
      </c>
      <c r="D65" s="6" t="inlineStr">
        <is>
          <t>속도 구간 비율</t>
        </is>
      </c>
      <c r="E65" s="6" t="inlineStr">
        <is>
          <t>frac_slow</t>
        </is>
      </c>
      <c r="F65" s="7" t="inlineStr">
        <is>
          <t>저속(0.5~3kn) 구간 비율</t>
        </is>
      </c>
      <c r="G65" s="7" t="inlineStr">
        <is>
          <t>출어일마다 이동 시간대 평균 → 출어일들의 평균</t>
        </is>
      </c>
      <c r="H65" s="6" t="inlineStr">
        <is>
          <t>L1→L2→L3</t>
        </is>
      </c>
      <c r="I65" s="6" t="inlineStr">
        <is>
          <t>나연</t>
        </is>
      </c>
      <c r="J65" s="6" t="inlineStr"/>
      <c r="K65" s="6" t="inlineStr"/>
      <c r="L65" s="6" t="inlineStr">
        <is>
          <t>O</t>
        </is>
      </c>
      <c r="M65" s="6" t="inlineStr">
        <is>
          <t>O</t>
        </is>
      </c>
      <c r="N65" s="6" t="inlineStr"/>
      <c r="O65" s="12" t="n">
        <v>1</v>
      </c>
      <c r="P65" s="12" t="n">
        <v>0</v>
      </c>
      <c r="Q65" s="6" t="n">
        <v>81</v>
      </c>
      <c r="R65" s="6" t="n">
        <v>99</v>
      </c>
      <c r="S65" s="6" t="inlineStr"/>
    </row>
    <row r="66">
      <c r="A66" s="6" t="n">
        <v>65</v>
      </c>
      <c r="B66" s="6" t="inlineStr">
        <is>
          <t>mv_frac_mid_mean</t>
        </is>
      </c>
      <c r="C66" s="6" t="inlineStr">
        <is>
          <t>속도 구조(C)</t>
        </is>
      </c>
      <c r="D66" s="6" t="inlineStr">
        <is>
          <t>속도 구간 비율</t>
        </is>
      </c>
      <c r="E66" s="6" t="inlineStr">
        <is>
          <t>frac_mid</t>
        </is>
      </c>
      <c r="F66" s="7" t="inlineStr">
        <is>
          <t>중속(3~6kn) 구간 비율</t>
        </is>
      </c>
      <c r="G66" s="7" t="inlineStr">
        <is>
          <t>출어일마다 이동 시간대 평균 → 출어일들의 평균</t>
        </is>
      </c>
      <c r="H66" s="6" t="inlineStr">
        <is>
          <t>L1→L2→L3</t>
        </is>
      </c>
      <c r="I66" s="6" t="inlineStr">
        <is>
          <t>나연</t>
        </is>
      </c>
      <c r="J66" s="6" t="inlineStr"/>
      <c r="K66" s="6" t="inlineStr"/>
      <c r="L66" s="6" t="inlineStr">
        <is>
          <t>O</t>
        </is>
      </c>
      <c r="M66" s="6" t="inlineStr">
        <is>
          <t>O</t>
        </is>
      </c>
      <c r="N66" s="6" t="inlineStr"/>
      <c r="O66" s="12" t="n">
        <v>1</v>
      </c>
      <c r="P66" s="12" t="n">
        <v>0</v>
      </c>
      <c r="Q66" s="6" t="n">
        <v>52</v>
      </c>
      <c r="R66" s="6" t="n">
        <v>204</v>
      </c>
      <c r="S66" s="6" t="inlineStr"/>
    </row>
    <row r="67">
      <c r="A67" s="6" t="n">
        <v>66</v>
      </c>
      <c r="B67" s="6" t="inlineStr">
        <is>
          <t>mv_frac_fast_mean</t>
        </is>
      </c>
      <c r="C67" s="6" t="inlineStr">
        <is>
          <t>속도 구조(C)</t>
        </is>
      </c>
      <c r="D67" s="6" t="inlineStr">
        <is>
          <t>속도 구간 비율</t>
        </is>
      </c>
      <c r="E67" s="6" t="inlineStr">
        <is>
          <t>frac_fast</t>
        </is>
      </c>
      <c r="F67" s="7" t="inlineStr">
        <is>
          <t>고속(&gt;6kn) 구간 비율</t>
        </is>
      </c>
      <c r="G67" s="7" t="inlineStr">
        <is>
          <t>출어일마다 이동 시간대 평균 → 출어일들의 평균</t>
        </is>
      </c>
      <c r="H67" s="6" t="inlineStr">
        <is>
          <t>L1→L2→L3</t>
        </is>
      </c>
      <c r="I67" s="6" t="inlineStr">
        <is>
          <t>나연</t>
        </is>
      </c>
      <c r="J67" s="6" t="inlineStr"/>
      <c r="K67" s="6" t="inlineStr"/>
      <c r="L67" s="6" t="inlineStr">
        <is>
          <t>O</t>
        </is>
      </c>
      <c r="M67" s="6" t="inlineStr">
        <is>
          <t>O</t>
        </is>
      </c>
      <c r="N67" s="6" t="inlineStr"/>
      <c r="O67" s="12" t="n">
        <v>0.8</v>
      </c>
      <c r="P67" s="12" t="n">
        <v>0</v>
      </c>
      <c r="Q67" s="6" t="n">
        <v>219</v>
      </c>
      <c r="R67" s="6" t="n">
        <v>165</v>
      </c>
      <c r="S67" s="6" t="inlineStr"/>
    </row>
    <row r="68">
      <c r="A68" s="6" t="n">
        <v>67</v>
      </c>
      <c r="B68" s="6" t="inlineStr">
        <is>
          <t>mv_heading_R_mean</t>
        </is>
      </c>
      <c r="C68" s="6" t="inlineStr">
        <is>
          <t>방향·회전(D)</t>
        </is>
      </c>
      <c r="D68" s="6" t="inlineStr">
        <is>
          <t>방향 일관성</t>
        </is>
      </c>
      <c r="E68" s="6" t="inlineStr">
        <is>
          <t>heading_R</t>
        </is>
      </c>
      <c r="F68" s="7" t="inlineStr">
        <is>
          <t>방향 일관성 (1=한 방향, 0=사방)</t>
        </is>
      </c>
      <c r="G68" s="7" t="inlineStr">
        <is>
          <t>출어일마다 이동 시간대 평균 → 출어일들의 평균</t>
        </is>
      </c>
      <c r="H68" s="6" t="inlineStr">
        <is>
          <t>L1→L2→L3</t>
        </is>
      </c>
      <c r="I68" s="6" t="inlineStr">
        <is>
          <t>진우·나연·민성</t>
        </is>
      </c>
      <c r="J68" s="6" t="inlineStr"/>
      <c r="K68" s="6" t="inlineStr"/>
      <c r="L68" s="6" t="inlineStr">
        <is>
          <t>O</t>
        </is>
      </c>
      <c r="M68" s="6" t="inlineStr">
        <is>
          <t>O</t>
        </is>
      </c>
      <c r="N68" s="6" t="inlineStr"/>
      <c r="O68" s="12" t="n">
        <v>0.4</v>
      </c>
      <c r="P68" s="12" t="n">
        <v>0.2</v>
      </c>
      <c r="Q68" s="6" t="n">
        <v>252</v>
      </c>
      <c r="R68" s="6" t="n">
        <v>62</v>
      </c>
      <c r="S68" s="6" t="inlineStr">
        <is>
          <t>mv_bearing_std_median</t>
        </is>
      </c>
    </row>
    <row r="69">
      <c r="A69" s="6" t="n">
        <v>68</v>
      </c>
      <c r="B69" s="6" t="inlineStr">
        <is>
          <t>mv_bearing_std_mean</t>
        </is>
      </c>
      <c r="C69" s="6" t="inlineStr">
        <is>
          <t>방향·회전(D)</t>
        </is>
      </c>
      <c r="D69" s="6" t="inlineStr">
        <is>
          <t>방향 일관성</t>
        </is>
      </c>
      <c r="E69" s="6" t="inlineStr">
        <is>
          <t>bearing_std</t>
        </is>
      </c>
      <c r="F69" s="7" t="inlineStr">
        <is>
          <t>진행방향 원형 표준편차(°)</t>
        </is>
      </c>
      <c r="G69" s="7" t="inlineStr">
        <is>
          <t>출어일마다 이동 시간대 평균 → 출어일들의 평균</t>
        </is>
      </c>
      <c r="H69" s="6" t="inlineStr">
        <is>
          <t>L1→L2→L3</t>
        </is>
      </c>
      <c r="I69" s="6" t="inlineStr">
        <is>
          <t>지유</t>
        </is>
      </c>
      <c r="J69" s="6" t="inlineStr"/>
      <c r="K69" s="6" t="inlineStr"/>
      <c r="L69" s="6" t="inlineStr">
        <is>
          <t>O</t>
        </is>
      </c>
      <c r="M69" s="6" t="inlineStr">
        <is>
          <t>O</t>
        </is>
      </c>
      <c r="N69" s="6" t="inlineStr"/>
      <c r="O69" s="12" t="n">
        <v>0</v>
      </c>
      <c r="P69" s="12" t="n">
        <v>0</v>
      </c>
      <c r="Q69" s="6" t="n">
        <v>315</v>
      </c>
      <c r="R69" s="6" t="n">
        <v>200</v>
      </c>
      <c r="S69" s="6" t="inlineStr">
        <is>
          <t>mv_bearing_std_median</t>
        </is>
      </c>
    </row>
    <row r="70">
      <c r="A70" s="6" t="n">
        <v>69</v>
      </c>
      <c r="B70" s="6" t="inlineStr">
        <is>
          <t>mv_turn_mean_mean</t>
        </is>
      </c>
      <c r="C70" s="6" t="inlineStr">
        <is>
          <t>방향·회전(D)</t>
        </is>
      </c>
      <c r="D70" s="6" t="inlineStr">
        <is>
          <t>회전각</t>
        </is>
      </c>
      <c r="E70" s="6" t="inlineStr">
        <is>
          <t>turn_mean</t>
        </is>
      </c>
      <c r="F70" s="7" t="inlineStr">
        <is>
          <t>회전각 평균(°)</t>
        </is>
      </c>
      <c r="G70" s="7" t="inlineStr">
        <is>
          <t>출어일마다 이동 시간대 평균 → 출어일들의 평균</t>
        </is>
      </c>
      <c r="H70" s="6" t="inlineStr">
        <is>
          <t>L1→L2→L3</t>
        </is>
      </c>
      <c r="I70" s="6" t="inlineStr">
        <is>
          <t>공통</t>
        </is>
      </c>
      <c r="J70" s="6" t="inlineStr"/>
      <c r="K70" s="6" t="inlineStr"/>
      <c r="L70" s="6" t="inlineStr">
        <is>
          <t>O</t>
        </is>
      </c>
      <c r="M70" s="6" t="inlineStr">
        <is>
          <t>O</t>
        </is>
      </c>
      <c r="N70" s="6" t="inlineStr"/>
      <c r="O70" s="12" t="n">
        <v>0.6</v>
      </c>
      <c r="P70" s="12" t="n">
        <v>0</v>
      </c>
      <c r="Q70" s="6" t="n">
        <v>238</v>
      </c>
      <c r="R70" s="6" t="n">
        <v>191</v>
      </c>
      <c r="S70" s="6" t="inlineStr">
        <is>
          <t>mv_large_turn_ratio_mean</t>
        </is>
      </c>
    </row>
    <row r="71">
      <c r="A71" s="6" t="n">
        <v>70</v>
      </c>
      <c r="B71" s="6" t="inlineStr">
        <is>
          <t>mv_turn_std_mean</t>
        </is>
      </c>
      <c r="C71" s="6" t="inlineStr">
        <is>
          <t>방향·회전(D)</t>
        </is>
      </c>
      <c r="D71" s="6" t="inlineStr">
        <is>
          <t>회전각</t>
        </is>
      </c>
      <c r="E71" s="6" t="inlineStr">
        <is>
          <t>turn_std</t>
        </is>
      </c>
      <c r="F71" s="7" t="inlineStr">
        <is>
          <t>회전각 표준편차</t>
        </is>
      </c>
      <c r="G71" s="7" t="inlineStr">
        <is>
          <t>출어일마다 이동 시간대 평균 → 출어일들의 평균</t>
        </is>
      </c>
      <c r="H71" s="6" t="inlineStr">
        <is>
          <t>L1→L2→L3</t>
        </is>
      </c>
      <c r="I71" s="6" t="inlineStr">
        <is>
          <t>공통</t>
        </is>
      </c>
      <c r="J71" s="6" t="inlineStr"/>
      <c r="K71" s="6" t="inlineStr"/>
      <c r="L71" s="6" t="inlineStr">
        <is>
          <t>O</t>
        </is>
      </c>
      <c r="M71" s="6" t="inlineStr">
        <is>
          <t>O</t>
        </is>
      </c>
      <c r="N71" s="6" t="inlineStr"/>
      <c r="O71" s="12" t="n">
        <v>0.2</v>
      </c>
      <c r="P71" s="12" t="n">
        <v>0</v>
      </c>
      <c r="Q71" s="6" t="n">
        <v>277</v>
      </c>
      <c r="R71" s="6" t="n">
        <v>101</v>
      </c>
      <c r="S71" s="6" t="inlineStr">
        <is>
          <t>mv_turn_std_median</t>
        </is>
      </c>
    </row>
    <row r="72">
      <c r="A72" s="6" t="n">
        <v>71</v>
      </c>
      <c r="B72" s="6" t="inlineStr">
        <is>
          <t>mv_uturn_ratio_mean</t>
        </is>
      </c>
      <c r="C72" s="6" t="inlineStr">
        <is>
          <t>방향·회전(D)</t>
        </is>
      </c>
      <c r="D72" s="6" t="inlineStr">
        <is>
          <t>급선회·U턴</t>
        </is>
      </c>
      <c r="E72" s="6" t="inlineStr">
        <is>
          <t>uturn_ratio</t>
        </is>
      </c>
      <c r="F72" s="7" t="inlineStr">
        <is>
          <t>U턴 비율</t>
        </is>
      </c>
      <c r="G72" s="7" t="inlineStr">
        <is>
          <t>출어일마다 이동 시간대 평균 → 출어일들의 평균</t>
        </is>
      </c>
      <c r="H72" s="6" t="inlineStr">
        <is>
          <t>L1→L2→L3</t>
        </is>
      </c>
      <c r="I72" s="6" t="inlineStr">
        <is>
          <t>나연</t>
        </is>
      </c>
      <c r="J72" s="6" t="inlineStr"/>
      <c r="K72" s="6" t="inlineStr"/>
      <c r="L72" s="6" t="inlineStr">
        <is>
          <t>O</t>
        </is>
      </c>
      <c r="M72" s="6" t="inlineStr">
        <is>
          <t>O</t>
        </is>
      </c>
      <c r="N72" s="6" t="inlineStr"/>
      <c r="O72" s="12" t="n">
        <v>1</v>
      </c>
      <c r="P72" s="12" t="n">
        <v>0</v>
      </c>
      <c r="Q72" s="6" t="n">
        <v>65</v>
      </c>
      <c r="R72" s="6" t="n">
        <v>150</v>
      </c>
      <c r="S72" s="6" t="inlineStr"/>
    </row>
    <row r="73">
      <c r="A73" s="6" t="n">
        <v>72</v>
      </c>
      <c r="B73" s="6" t="inlineStr">
        <is>
          <t>mv_turn90_per_km_mean</t>
        </is>
      </c>
      <c r="C73" s="6" t="inlineStr">
        <is>
          <t>방향·회전(D)</t>
        </is>
      </c>
      <c r="D73" s="6" t="inlineStr">
        <is>
          <t>급선회·U턴</t>
        </is>
      </c>
      <c r="E73" s="6" t="inlineStr">
        <is>
          <t>turn90_per_km</t>
        </is>
      </c>
      <c r="F73" s="7" t="inlineStr">
        <is>
          <t>km당 90° 초과 회전 수</t>
        </is>
      </c>
      <c r="G73" s="7" t="inlineStr">
        <is>
          <t>출어일마다 이동 시간대 평균 → 출어일들의 평균</t>
        </is>
      </c>
      <c r="H73" s="6" t="inlineStr">
        <is>
          <t>L1→L2→L3</t>
        </is>
      </c>
      <c r="I73" s="6" t="inlineStr">
        <is>
          <t>나연</t>
        </is>
      </c>
      <c r="J73" s="6" t="inlineStr"/>
      <c r="K73" s="6" t="inlineStr"/>
      <c r="L73" s="6" t="inlineStr">
        <is>
          <t>O</t>
        </is>
      </c>
      <c r="M73" s="6" t="inlineStr">
        <is>
          <t>O</t>
        </is>
      </c>
      <c r="N73" s="6" t="inlineStr"/>
      <c r="O73" s="12" t="n">
        <v>1</v>
      </c>
      <c r="P73" s="12" t="n">
        <v>0</v>
      </c>
      <c r="Q73" s="6" t="n">
        <v>84</v>
      </c>
      <c r="R73" s="6" t="n">
        <v>103</v>
      </c>
      <c r="S73" s="6" t="inlineStr"/>
    </row>
    <row r="74">
      <c r="A74" s="6" t="n">
        <v>73</v>
      </c>
      <c r="B74" s="6" t="inlineStr">
        <is>
          <t>mv_large_turn_ratio_mean</t>
        </is>
      </c>
      <c r="C74" s="6" t="inlineStr">
        <is>
          <t>방향·회전(D)</t>
        </is>
      </c>
      <c r="D74" s="6" t="inlineStr">
        <is>
          <t>급선회·U턴</t>
        </is>
      </c>
      <c r="E74" s="6" t="inlineStr">
        <is>
          <t>large_turn_ratio</t>
        </is>
      </c>
      <c r="F74" s="7" t="inlineStr">
        <is>
          <t>60° 초과 급선회 비율</t>
        </is>
      </c>
      <c r="G74" s="7" t="inlineStr">
        <is>
          <t>출어일마다 이동 시간대 평균 → 출어일들의 평균</t>
        </is>
      </c>
      <c r="H74" s="6" t="inlineStr">
        <is>
          <t>L1→L2→L3</t>
        </is>
      </c>
      <c r="I74" s="6" t="inlineStr">
        <is>
          <t>지유·민성·진우</t>
        </is>
      </c>
      <c r="J74" s="6" t="inlineStr"/>
      <c r="K74" s="6" t="inlineStr"/>
      <c r="L74" s="6" t="inlineStr">
        <is>
          <t>O</t>
        </is>
      </c>
      <c r="M74" s="6" t="inlineStr">
        <is>
          <t>O</t>
        </is>
      </c>
      <c r="N74" s="6" t="inlineStr"/>
      <c r="O74" s="12" t="n">
        <v>0.2</v>
      </c>
      <c r="P74" s="12" t="n">
        <v>0</v>
      </c>
      <c r="Q74" s="6" t="n">
        <v>292</v>
      </c>
      <c r="R74" s="6" t="n">
        <v>233</v>
      </c>
      <c r="S74" s="6" t="inlineStr">
        <is>
          <t>mv_large_turn_ratio_median</t>
        </is>
      </c>
    </row>
    <row r="75">
      <c r="A75" s="6" t="n">
        <v>74</v>
      </c>
      <c r="B75" s="6" t="inlineStr">
        <is>
          <t>mv_loops_mean</t>
        </is>
      </c>
      <c r="C75" s="6" t="inlineStr">
        <is>
          <t>방향·회전(D)</t>
        </is>
      </c>
      <c r="D75" s="6" t="inlineStr">
        <is>
          <t>루프</t>
        </is>
      </c>
      <c r="E75" s="6" t="inlineStr">
        <is>
          <t>loops</t>
        </is>
      </c>
      <c r="F75" s="7" t="inlineStr">
        <is>
          <t>누적 회전/360 = 제자리 맴돈 루프 수</t>
        </is>
      </c>
      <c r="G75" s="7" t="inlineStr">
        <is>
          <t>출어일마다 이동 시간대 평균 → 출어일들의 평균</t>
        </is>
      </c>
      <c r="H75" s="6" t="inlineStr">
        <is>
          <t>L1→L2→L3</t>
        </is>
      </c>
      <c r="I75" s="6" t="inlineStr">
        <is>
          <t>가설 D</t>
        </is>
      </c>
      <c r="J75" s="6" t="inlineStr"/>
      <c r="K75" s="6" t="inlineStr">
        <is>
          <t>가설 D(선회)</t>
        </is>
      </c>
      <c r="L75" s="6" t="inlineStr">
        <is>
          <t>O</t>
        </is>
      </c>
      <c r="M75" s="6" t="inlineStr">
        <is>
          <t>O</t>
        </is>
      </c>
      <c r="N75" s="6" t="inlineStr"/>
      <c r="O75" s="12" t="n">
        <v>0.8</v>
      </c>
      <c r="P75" s="12" t="n">
        <v>0</v>
      </c>
      <c r="Q75" s="6" t="n">
        <v>214</v>
      </c>
      <c r="R75" s="6" t="n">
        <v>100</v>
      </c>
      <c r="S75" s="6" t="inlineStr">
        <is>
          <t>mv_loops_median</t>
        </is>
      </c>
    </row>
    <row r="76">
      <c r="A76" s="6" t="n">
        <v>75</v>
      </c>
      <c r="B76" s="6" t="inlineStr">
        <is>
          <t>mv_straightness_mean</t>
        </is>
      </c>
      <c r="C76" s="6" t="inlineStr">
        <is>
          <t>경로형태·직선투망(B)</t>
        </is>
      </c>
      <c r="D76" s="6" t="inlineStr">
        <is>
          <t>직진도·구불거림</t>
        </is>
      </c>
      <c r="E76" s="6" t="inlineStr">
        <is>
          <t>straightness</t>
        </is>
      </c>
      <c r="F76" s="7" t="inlineStr">
        <is>
          <t>직진도 = 변위/거리 (0~1, 1=일직선)</t>
        </is>
      </c>
      <c r="G76" s="7" t="inlineStr">
        <is>
          <t>출어일마다 이동 시간대 평균 → 출어일들의 평균</t>
        </is>
      </c>
      <c r="H76" s="6" t="inlineStr">
        <is>
          <t>L1→L2→L3</t>
        </is>
      </c>
      <c r="I76" s="6" t="inlineStr">
        <is>
          <t>공통</t>
        </is>
      </c>
      <c r="J76" s="6" t="inlineStr"/>
      <c r="K76" s="6" t="inlineStr"/>
      <c r="L76" s="6" t="inlineStr">
        <is>
          <t>O</t>
        </is>
      </c>
      <c r="M76" s="6" t="inlineStr">
        <is>
          <t>O</t>
        </is>
      </c>
      <c r="N76" s="6" t="inlineStr"/>
      <c r="O76" s="12" t="n">
        <v>0.8</v>
      </c>
      <c r="P76" s="12" t="n">
        <v>0</v>
      </c>
      <c r="Q76" s="6" t="n">
        <v>217</v>
      </c>
      <c r="R76" s="6" t="n">
        <v>309</v>
      </c>
      <c r="S76" s="6" t="inlineStr">
        <is>
          <t>mv_straightness_median</t>
        </is>
      </c>
    </row>
    <row r="77">
      <c r="A77" s="6" t="n">
        <v>76</v>
      </c>
      <c r="B77" s="6" t="inlineStr">
        <is>
          <t>mv_path_over_rg_mean</t>
        </is>
      </c>
      <c r="C77" s="6" t="inlineStr">
        <is>
          <t>경로형태·직선투망(B)</t>
        </is>
      </c>
      <c r="D77" s="6" t="inlineStr">
        <is>
          <t>경로 반복도</t>
        </is>
      </c>
      <c r="E77" s="6" t="inlineStr">
        <is>
          <t>path_over_rg</t>
        </is>
      </c>
      <c r="F77" s="7" t="inlineStr">
        <is>
          <t>경로길이/회전반경</t>
        </is>
      </c>
      <c r="G77" s="7" t="inlineStr">
        <is>
          <t>출어일마다 이동 시간대 평균 → 출어일들의 평균</t>
        </is>
      </c>
      <c r="H77" s="6" t="inlineStr">
        <is>
          <t>L1→L2→L3</t>
        </is>
      </c>
      <c r="I77" s="6" t="inlineStr">
        <is>
          <t>나연</t>
        </is>
      </c>
      <c r="J77" s="6" t="inlineStr"/>
      <c r="K77" s="6" t="inlineStr"/>
      <c r="L77" s="6" t="inlineStr">
        <is>
          <t>O</t>
        </is>
      </c>
      <c r="M77" s="6" t="inlineStr">
        <is>
          <t>O</t>
        </is>
      </c>
      <c r="N77" s="6" t="inlineStr"/>
      <c r="O77" s="12" t="n">
        <v>0</v>
      </c>
      <c r="P77" s="12" t="n">
        <v>0</v>
      </c>
      <c r="Q77" s="6" t="n">
        <v>338</v>
      </c>
      <c r="R77" s="6" t="n">
        <v>341</v>
      </c>
      <c r="S77" s="6" t="inlineStr">
        <is>
          <t>fh_path_over_rg_q50</t>
        </is>
      </c>
    </row>
    <row r="78">
      <c r="A78" s="6" t="n">
        <v>77</v>
      </c>
      <c r="B78" s="6" t="inlineStr">
        <is>
          <t>mv_path_over_diag_mean</t>
        </is>
      </c>
      <c r="C78" s="6" t="inlineStr">
        <is>
          <t>경로형태·직선투망(B)</t>
        </is>
      </c>
      <c r="D78" s="6" t="inlineStr">
        <is>
          <t>경로 반복도</t>
        </is>
      </c>
      <c r="E78" s="6" t="inlineStr">
        <is>
          <t>path_over_diag</t>
        </is>
      </c>
      <c r="F78" s="7" t="inlineStr">
        <is>
          <t>경로길이/범위 대각선: 같은 곳을 반복할수록 큼</t>
        </is>
      </c>
      <c r="G78" s="7" t="inlineStr">
        <is>
          <t>출어일마다 이동 시간대 평균 → 출어일들의 평균</t>
        </is>
      </c>
      <c r="H78" s="6" t="inlineStr">
        <is>
          <t>L1→L2→L3</t>
        </is>
      </c>
      <c r="I78" s="6" t="inlineStr">
        <is>
          <t>나연</t>
        </is>
      </c>
      <c r="J78" s="6" t="inlineStr"/>
      <c r="K78" s="6" t="inlineStr"/>
      <c r="L78" s="6" t="inlineStr">
        <is>
          <t>O</t>
        </is>
      </c>
      <c r="M78" s="6" t="inlineStr">
        <is>
          <t>O</t>
        </is>
      </c>
      <c r="N78" s="6" t="inlineStr"/>
      <c r="O78" s="12" t="n">
        <v>0.2</v>
      </c>
      <c r="P78" s="12" t="n">
        <v>0</v>
      </c>
      <c r="Q78" s="6" t="n">
        <v>307</v>
      </c>
      <c r="R78" s="6" t="n">
        <v>332</v>
      </c>
      <c r="S78" s="6" t="inlineStr">
        <is>
          <t>fh_path_over_rg_q50</t>
        </is>
      </c>
    </row>
    <row r="79">
      <c r="A79" s="6" t="n">
        <v>78</v>
      </c>
      <c r="B79" s="6" t="inlineStr">
        <is>
          <t>mv_n_stop_move_switch_mean</t>
        </is>
      </c>
      <c r="C79" s="6" t="inlineStr">
        <is>
          <t>시간 사용·항차</t>
        </is>
      </c>
      <c r="D79" s="6" t="inlineStr">
        <is>
          <t>상태 전환</t>
        </is>
      </c>
      <c r="E79" s="6" t="inlineStr">
        <is>
          <t>n_stop_move_switch</t>
        </is>
      </c>
      <c r="F79" s="7" t="inlineStr">
        <is>
          <t>정지↔이동 전환 횟수</t>
        </is>
      </c>
      <c r="G79" s="7" t="inlineStr">
        <is>
          <t>출어일마다 이동 시간대 평균 → 출어일들의 평균</t>
        </is>
      </c>
      <c r="H79" s="6" t="inlineStr">
        <is>
          <t>L1→L2→L3</t>
        </is>
      </c>
      <c r="I79" s="6" t="inlineStr">
        <is>
          <t>나연</t>
        </is>
      </c>
      <c r="J79" s="6" t="inlineStr"/>
      <c r="K79" s="6" t="inlineStr"/>
      <c r="L79" s="6" t="inlineStr">
        <is>
          <t>O</t>
        </is>
      </c>
      <c r="M79" s="6" t="inlineStr">
        <is>
          <t>O</t>
        </is>
      </c>
      <c r="N79" s="6" t="inlineStr"/>
      <c r="O79" s="12" t="n">
        <v>1</v>
      </c>
      <c r="P79" s="12" t="n">
        <v>0</v>
      </c>
      <c r="Q79" s="6" t="n">
        <v>93</v>
      </c>
      <c r="R79" s="6" t="n">
        <v>104</v>
      </c>
      <c r="S79" s="6" t="inlineStr"/>
    </row>
    <row r="80">
      <c r="A80" s="6" t="n">
        <v>79</v>
      </c>
      <c r="B80" s="6" t="inlineStr">
        <is>
          <t>mv_rg_m_mean</t>
        </is>
      </c>
      <c r="C80" s="6" t="inlineStr">
        <is>
          <t>이동량·공간범위</t>
        </is>
      </c>
      <c r="D80" s="6" t="inlineStr">
        <is>
          <t>활동 범위(1시간)</t>
        </is>
      </c>
      <c r="E80" s="6" t="inlineStr">
        <is>
          <t>rg_m</t>
        </is>
      </c>
      <c r="F80" s="7" t="inlineStr">
        <is>
          <t>회전반경: 중심에서 퍼진 정도(m)</t>
        </is>
      </c>
      <c r="G80" s="7" t="inlineStr">
        <is>
          <t>출어일마다 이동 시간대 평균 → 출어일들의 평균</t>
        </is>
      </c>
      <c r="H80" s="6" t="inlineStr">
        <is>
          <t>L1→L2→L3</t>
        </is>
      </c>
      <c r="I80" s="6" t="inlineStr">
        <is>
          <t>민성·나연·진우</t>
        </is>
      </c>
      <c r="J80" s="6" t="inlineStr"/>
      <c r="K80" s="6" t="inlineStr"/>
      <c r="L80" s="6" t="inlineStr">
        <is>
          <t>O</t>
        </is>
      </c>
      <c r="M80" s="6" t="inlineStr">
        <is>
          <t>O</t>
        </is>
      </c>
      <c r="N80" s="6" t="inlineStr"/>
      <c r="O80" s="12" t="n">
        <v>0</v>
      </c>
      <c r="P80" s="12" t="n">
        <v>0</v>
      </c>
      <c r="Q80" s="6" t="n">
        <v>333</v>
      </c>
      <c r="R80" s="6" t="n">
        <v>337</v>
      </c>
      <c r="S80" s="6" t="inlineStr">
        <is>
          <t>mv_bbox_diag_m_mean</t>
        </is>
      </c>
    </row>
    <row r="81">
      <c r="A81" s="6" t="n">
        <v>80</v>
      </c>
      <c r="B81" s="6" t="inlineStr">
        <is>
          <t>mv_rg_med_m_mean</t>
        </is>
      </c>
      <c r="C81" s="6" t="inlineStr">
        <is>
          <t>이동량·공간범위</t>
        </is>
      </c>
      <c r="D81" s="6" t="inlineStr">
        <is>
          <t>활동 범위(1시간)</t>
        </is>
      </c>
      <c r="E81" s="6" t="inlineStr">
        <is>
          <t>rg_med_m</t>
        </is>
      </c>
      <c r="F81" s="7" t="inlineStr">
        <is>
          <t>중앙 반경: 중앙점까지 거리의 중앙값(m, 지터 강건)</t>
        </is>
      </c>
      <c r="G81" s="7" t="inlineStr">
        <is>
          <t>출어일마다 이동 시간대 평균 → 출어일들의 평균</t>
        </is>
      </c>
      <c r="H81" s="6" t="inlineStr">
        <is>
          <t>L1→L2→L3</t>
        </is>
      </c>
      <c r="I81" s="6" t="inlineStr">
        <is>
          <t>민성</t>
        </is>
      </c>
      <c r="J81" s="6" t="inlineStr"/>
      <c r="K81" s="6" t="inlineStr"/>
      <c r="L81" s="6" t="inlineStr">
        <is>
          <t>O</t>
        </is>
      </c>
      <c r="M81" s="6" t="inlineStr">
        <is>
          <t>O</t>
        </is>
      </c>
      <c r="N81" s="6" t="inlineStr"/>
      <c r="O81" s="12" t="n">
        <v>0</v>
      </c>
      <c r="P81" s="12" t="n">
        <v>0</v>
      </c>
      <c r="Q81" s="6" t="n">
        <v>332</v>
      </c>
      <c r="R81" s="6" t="n">
        <v>303</v>
      </c>
      <c r="S81" s="6" t="inlineStr">
        <is>
          <t>mv_rg_med_m_median</t>
        </is>
      </c>
    </row>
    <row r="82">
      <c r="A82" s="6" t="n">
        <v>81</v>
      </c>
      <c r="B82" s="6" t="inlineStr">
        <is>
          <t>mv_bbox_diag_m_mean</t>
        </is>
      </c>
      <c r="C82" s="6" t="inlineStr">
        <is>
          <t>이동량·공간범위</t>
        </is>
      </c>
      <c r="D82" s="6" t="inlineStr">
        <is>
          <t>활동 범위(1시간)</t>
        </is>
      </c>
      <c r="E82" s="6" t="inlineStr">
        <is>
          <t>bbox_diag_m</t>
        </is>
      </c>
      <c r="F82" s="7" t="inlineStr">
        <is>
          <t>활동 사각형 대각선(m)</t>
        </is>
      </c>
      <c r="G82" s="7" t="inlineStr">
        <is>
          <t>출어일마다 이동 시간대 평균 → 출어일들의 평균</t>
        </is>
      </c>
      <c r="H82" s="6" t="inlineStr">
        <is>
          <t>L1→L2→L3</t>
        </is>
      </c>
      <c r="I82" s="6" t="inlineStr">
        <is>
          <t>나연</t>
        </is>
      </c>
      <c r="J82" s="6" t="inlineStr"/>
      <c r="K82" s="6" t="inlineStr"/>
      <c r="L82" s="6" t="inlineStr">
        <is>
          <t>O</t>
        </is>
      </c>
      <c r="M82" s="6" t="inlineStr">
        <is>
          <t>O</t>
        </is>
      </c>
      <c r="N82" s="6" t="inlineStr"/>
      <c r="O82" s="12" t="n">
        <v>0.2</v>
      </c>
      <c r="P82" s="12" t="n">
        <v>0</v>
      </c>
      <c r="Q82" s="6" t="n">
        <v>304</v>
      </c>
      <c r="R82" s="6" t="n">
        <v>279</v>
      </c>
      <c r="S82" s="6" t="inlineStr">
        <is>
          <t>mv_ks_straight_max_m_mean</t>
        </is>
      </c>
    </row>
    <row r="83">
      <c r="A83" s="6" t="n">
        <v>82</v>
      </c>
      <c r="B83" s="6" t="inlineStr">
        <is>
          <t>mv_bbox_aspect_mean</t>
        </is>
      </c>
      <c r="C83" s="6" t="inlineStr">
        <is>
          <t>경로형태·직선투망(B)</t>
        </is>
      </c>
      <c r="D83" s="6" t="inlineStr">
        <is>
          <t>직선 투망 형상</t>
        </is>
      </c>
      <c r="E83" s="6" t="inlineStr">
        <is>
          <t>bbox_aspect</t>
        </is>
      </c>
      <c r="F83" s="7" t="inlineStr">
        <is>
          <t>활동 사각형 가로세로비: 길쭉할수록 큼</t>
        </is>
      </c>
      <c r="G83" s="7" t="inlineStr">
        <is>
          <t>출어일마다 이동 시간대 평균 → 출어일들의 평균</t>
        </is>
      </c>
      <c r="H83" s="6" t="inlineStr">
        <is>
          <t>L1→L2→L3</t>
        </is>
      </c>
      <c r="I83" s="6" t="inlineStr">
        <is>
          <t>나연</t>
        </is>
      </c>
      <c r="J83" s="6" t="inlineStr"/>
      <c r="K83" s="6" t="inlineStr"/>
      <c r="L83" s="6" t="inlineStr">
        <is>
          <t>O</t>
        </is>
      </c>
      <c r="M83" s="6" t="inlineStr">
        <is>
          <t>O</t>
        </is>
      </c>
      <c r="N83" s="6" t="inlineStr"/>
      <c r="O83" s="12" t="n">
        <v>0.8</v>
      </c>
      <c r="P83" s="12" t="n">
        <v>0</v>
      </c>
      <c r="Q83" s="6" t="n">
        <v>216</v>
      </c>
      <c r="R83" s="6" t="n">
        <v>289</v>
      </c>
      <c r="S83" s="6" t="inlineStr"/>
    </row>
    <row r="84">
      <c r="A84" s="6" t="n">
        <v>83</v>
      </c>
      <c r="B84" s="6" t="inlineStr">
        <is>
          <t>mv_hull_area_m2_mean</t>
        </is>
      </c>
      <c r="C84" s="6" t="inlineStr">
        <is>
          <t>이동량·공간범위</t>
        </is>
      </c>
      <c r="D84" s="6" t="inlineStr">
        <is>
          <t>활동 범위(1시간)</t>
        </is>
      </c>
      <c r="E84" s="6" t="inlineStr">
        <is>
          <t>hull_area_m2</t>
        </is>
      </c>
      <c r="F84" s="7" t="inlineStr">
        <is>
          <t>볼록껍질 면적(m²)</t>
        </is>
      </c>
      <c r="G84" s="7" t="inlineStr">
        <is>
          <t>출어일마다 이동 시간대 평균 → 출어일들의 평균</t>
        </is>
      </c>
      <c r="H84" s="6" t="inlineStr">
        <is>
          <t>L1→L2→L3</t>
        </is>
      </c>
      <c r="I84" s="6" t="inlineStr">
        <is>
          <t>지유·민성</t>
        </is>
      </c>
      <c r="J84" s="6" t="inlineStr"/>
      <c r="K84" s="6" t="inlineStr"/>
      <c r="L84" s="6" t="inlineStr">
        <is>
          <t>O</t>
        </is>
      </c>
      <c r="M84" s="6" t="inlineStr">
        <is>
          <t>O</t>
        </is>
      </c>
      <c r="N84" s="6" t="inlineStr"/>
      <c r="O84" s="12" t="n">
        <v>1</v>
      </c>
      <c r="P84" s="12" t="n">
        <v>0</v>
      </c>
      <c r="Q84" s="6" t="n">
        <v>186</v>
      </c>
      <c r="R84" s="6" t="n">
        <v>228</v>
      </c>
      <c r="S84" s="6" t="inlineStr"/>
    </row>
    <row r="85">
      <c r="A85" s="6" t="n">
        <v>84</v>
      </c>
      <c r="B85" s="6" t="inlineStr">
        <is>
          <t>mv_uniq_pos_ratio_mean</t>
        </is>
      </c>
      <c r="C85" s="6" t="inlineStr">
        <is>
          <t>품질·기록량</t>
        </is>
      </c>
      <c r="D85" s="6" t="inlineStr">
        <is>
          <t>기록량</t>
        </is>
      </c>
      <c r="E85" s="6" t="inlineStr">
        <is>
          <t>uniq_pos_ratio</t>
        </is>
      </c>
      <c r="F85" s="7" t="inlineStr">
        <is>
          <t>고유 위치(10m 격자) 비율: 낮으면 제자리</t>
        </is>
      </c>
      <c r="G85" s="7" t="inlineStr">
        <is>
          <t>출어일마다 이동 시간대 평균 → 출어일들의 평균</t>
        </is>
      </c>
      <c r="H85" s="6" t="inlineStr">
        <is>
          <t>L1→L2→L3</t>
        </is>
      </c>
      <c r="I85" s="6" t="inlineStr">
        <is>
          <t>나연</t>
        </is>
      </c>
      <c r="J85" s="6" t="inlineStr"/>
      <c r="K85" s="6" t="inlineStr"/>
      <c r="L85" s="6" t="inlineStr">
        <is>
          <t>O</t>
        </is>
      </c>
      <c r="M85" s="6" t="inlineStr">
        <is>
          <t>O</t>
        </is>
      </c>
      <c r="N85" s="6" t="inlineStr"/>
      <c r="O85" s="12" t="n">
        <v>0.2</v>
      </c>
      <c r="P85" s="12" t="n">
        <v>0</v>
      </c>
      <c r="Q85" s="6" t="n">
        <v>305</v>
      </c>
      <c r="R85" s="6" t="n">
        <v>304</v>
      </c>
      <c r="S85" s="6" t="inlineStr">
        <is>
          <t>fh_uniq_pos_ratio_q50</t>
        </is>
      </c>
    </row>
    <row r="86">
      <c r="A86" s="6" t="n">
        <v>85</v>
      </c>
      <c r="B86" s="6" t="inlineStr">
        <is>
          <t>mv_pca_elong_mean</t>
        </is>
      </c>
      <c r="C86" s="6" t="inlineStr">
        <is>
          <t>경로형태·직선투망(B)</t>
        </is>
      </c>
      <c r="D86" s="6" t="inlineStr">
        <is>
          <t>직선 투망 형상</t>
        </is>
      </c>
      <c r="E86" s="6" t="inlineStr">
        <is>
          <t>pca_elong</t>
        </is>
      </c>
      <c r="F86" s="7" t="inlineStr">
        <is>
          <t>PCA 연신율 log(1+λ1/λ2): 직선 모양일수록 큼</t>
        </is>
      </c>
      <c r="G86" s="7" t="inlineStr">
        <is>
          <t>출어일마다 이동 시간대 평균 → 출어일들의 평균</t>
        </is>
      </c>
      <c r="H86" s="6" t="inlineStr">
        <is>
          <t>L1→L2→L3</t>
        </is>
      </c>
      <c r="I86" s="6" t="inlineStr">
        <is>
          <t>가설 B</t>
        </is>
      </c>
      <c r="J86" s="6" t="inlineStr"/>
      <c r="K86" s="6" t="inlineStr">
        <is>
          <t>가설 B(직선 투망)</t>
        </is>
      </c>
      <c r="L86" s="6" t="inlineStr">
        <is>
          <t>O</t>
        </is>
      </c>
      <c r="M86" s="6" t="inlineStr">
        <is>
          <t>O</t>
        </is>
      </c>
      <c r="N86" s="6" t="inlineStr"/>
      <c r="O86" s="12" t="n">
        <v>0.8</v>
      </c>
      <c r="P86" s="12" t="n">
        <v>0</v>
      </c>
      <c r="Q86" s="6" t="n">
        <v>193</v>
      </c>
      <c r="R86" s="6" t="n">
        <v>85</v>
      </c>
      <c r="S86" s="6" t="inlineStr">
        <is>
          <t>mv_pca_elong_median</t>
        </is>
      </c>
    </row>
    <row r="87">
      <c r="A87" s="6" t="n">
        <v>86</v>
      </c>
      <c r="B87" s="6" t="inlineStr">
        <is>
          <t>mv_seg_sinuosity_mean_mean</t>
        </is>
      </c>
      <c r="C87" s="6" t="inlineStr">
        <is>
          <t>경로형태·직선투망(B)</t>
        </is>
      </c>
      <c r="D87" s="6" t="inlineStr">
        <is>
          <t>직진도·구불거림</t>
        </is>
      </c>
      <c r="E87" s="6" t="inlineStr">
        <is>
          <t>seg_sinuosity_mean</t>
        </is>
      </c>
      <c r="F87" s="7" t="inlineStr">
        <is>
          <t>구간별 구불거림 평균 (변위 100m 이상 구간)</t>
        </is>
      </c>
      <c r="G87" s="7" t="inlineStr">
        <is>
          <t>출어일마다 이동 시간대 평균 → 출어일들의 평균</t>
        </is>
      </c>
      <c r="H87" s="6" t="inlineStr">
        <is>
          <t>L1→L2→L3</t>
        </is>
      </c>
      <c r="I87" s="6" t="inlineStr">
        <is>
          <t>지유</t>
        </is>
      </c>
      <c r="J87" s="6" t="inlineStr"/>
      <c r="K87" s="6" t="inlineStr"/>
      <c r="L87" s="6" t="inlineStr">
        <is>
          <t>O</t>
        </is>
      </c>
      <c r="M87" s="6" t="inlineStr">
        <is>
          <t>O</t>
        </is>
      </c>
      <c r="N87" s="6" t="inlineStr"/>
      <c r="O87" s="12" t="n">
        <v>1</v>
      </c>
      <c r="P87" s="12" t="n">
        <v>0</v>
      </c>
      <c r="Q87" s="6" t="n">
        <v>67</v>
      </c>
      <c r="R87" s="6" t="n">
        <v>112</v>
      </c>
      <c r="S87" s="6" t="inlineStr"/>
    </row>
    <row r="88">
      <c r="A88" s="6" t="n">
        <v>87</v>
      </c>
      <c r="B88" s="6" t="inlineStr">
        <is>
          <t>mv_ks_speed_med_mean</t>
        </is>
      </c>
      <c r="C88" s="6" t="inlineStr">
        <is>
          <t>속도 구조(C)</t>
        </is>
      </c>
      <c r="D88" s="6" t="inlineStr">
        <is>
          <t>5-step 강건 속도</t>
        </is>
      </c>
      <c r="E88" s="6" t="inlineStr">
        <is>
          <t>ks_speed_med</t>
        </is>
      </c>
      <c r="F88" s="7" t="inlineStr">
        <is>
          <t>5-step 속도 중앙값(kn)</t>
        </is>
      </c>
      <c r="G88" s="7" t="inlineStr">
        <is>
          <t>출어일마다 이동 시간대 평균 → 출어일들의 평균</t>
        </is>
      </c>
      <c r="H88" s="6" t="inlineStr">
        <is>
          <t>L1→L2→L3</t>
        </is>
      </c>
      <c r="I88" s="6" t="inlineStr">
        <is>
          <t>민성</t>
        </is>
      </c>
      <c r="J88" s="6" t="inlineStr"/>
      <c r="K88" s="6" t="inlineStr"/>
      <c r="L88" s="6" t="inlineStr">
        <is>
          <t>O</t>
        </is>
      </c>
      <c r="M88" s="6" t="inlineStr">
        <is>
          <t>O</t>
        </is>
      </c>
      <c r="N88" s="6" t="inlineStr"/>
      <c r="O88" s="12" t="n">
        <v>0.8</v>
      </c>
      <c r="P88" s="12" t="n">
        <v>0</v>
      </c>
      <c r="Q88" s="6" t="n">
        <v>226</v>
      </c>
      <c r="R88" s="6" t="n">
        <v>327</v>
      </c>
      <c r="S88" s="6" t="inlineStr">
        <is>
          <t>mv_ks_speed_med_median</t>
        </is>
      </c>
    </row>
    <row r="89">
      <c r="A89" s="6" t="n">
        <v>88</v>
      </c>
      <c r="B89" s="6" t="inlineStr">
        <is>
          <t>mv_ks_speed_p90_mean</t>
        </is>
      </c>
      <c r="C89" s="6" t="inlineStr">
        <is>
          <t>속도 구조(C)</t>
        </is>
      </c>
      <c r="D89" s="6" t="inlineStr">
        <is>
          <t>5-step 강건 속도</t>
        </is>
      </c>
      <c r="E89" s="6" t="inlineStr">
        <is>
          <t>ks_speed_p90</t>
        </is>
      </c>
      <c r="F89" s="7" t="inlineStr">
        <is>
          <t>5-step 속도 90% 분위</t>
        </is>
      </c>
      <c r="G89" s="7" t="inlineStr">
        <is>
          <t>출어일마다 이동 시간대 평균 → 출어일들의 평균</t>
        </is>
      </c>
      <c r="H89" s="6" t="inlineStr">
        <is>
          <t>L1→L2→L3</t>
        </is>
      </c>
      <c r="I89" s="6" t="inlineStr">
        <is>
          <t>민성</t>
        </is>
      </c>
      <c r="J89" s="6" t="inlineStr"/>
      <c r="K89" s="6" t="inlineStr"/>
      <c r="L89" s="6" t="inlineStr">
        <is>
          <t>O</t>
        </is>
      </c>
      <c r="M89" s="6" t="inlineStr">
        <is>
          <t>O</t>
        </is>
      </c>
      <c r="N89" s="6" t="inlineStr"/>
      <c r="O89" s="12" t="n">
        <v>0.4</v>
      </c>
      <c r="P89" s="12" t="n">
        <v>0</v>
      </c>
      <c r="Q89" s="6" t="n">
        <v>270</v>
      </c>
      <c r="R89" s="6" t="n">
        <v>343</v>
      </c>
      <c r="S89" s="6" t="inlineStr">
        <is>
          <t>mv_ks_speed_p90_median</t>
        </is>
      </c>
    </row>
    <row r="90">
      <c r="A90" s="6" t="n">
        <v>89</v>
      </c>
      <c r="B90" s="6" t="inlineStr">
        <is>
          <t>mv_ks_heading_R_mean</t>
        </is>
      </c>
      <c r="C90" s="6" t="inlineStr">
        <is>
          <t>방향·회전(D)</t>
        </is>
      </c>
      <c r="D90" s="6" t="inlineStr">
        <is>
          <t>방향 일관성</t>
        </is>
      </c>
      <c r="E90" s="6" t="inlineStr">
        <is>
          <t>ks_heading_R</t>
        </is>
      </c>
      <c r="F90" s="7" t="inlineStr">
        <is>
          <t>5-step 방향 일관성</t>
        </is>
      </c>
      <c r="G90" s="7" t="inlineStr">
        <is>
          <t>출어일마다 이동 시간대 평균 → 출어일들의 평균</t>
        </is>
      </c>
      <c r="H90" s="6" t="inlineStr">
        <is>
          <t>L1→L2→L3</t>
        </is>
      </c>
      <c r="I90" s="6" t="inlineStr">
        <is>
          <t>민성</t>
        </is>
      </c>
      <c r="J90" s="6" t="inlineStr"/>
      <c r="K90" s="6" t="inlineStr"/>
      <c r="L90" s="6" t="inlineStr">
        <is>
          <t>O</t>
        </is>
      </c>
      <c r="M90" s="6" t="inlineStr">
        <is>
          <t>O</t>
        </is>
      </c>
      <c r="N90" s="6" t="inlineStr"/>
      <c r="O90" s="12" t="n">
        <v>1</v>
      </c>
      <c r="P90" s="12" t="n">
        <v>0.2</v>
      </c>
      <c r="Q90" s="6" t="n">
        <v>49</v>
      </c>
      <c r="R90" s="6" t="n">
        <v>56</v>
      </c>
      <c r="S90" s="6" t="inlineStr">
        <is>
          <t>mv_ks_heading_R_median</t>
        </is>
      </c>
    </row>
    <row r="91">
      <c r="A91" s="6" t="n">
        <v>90</v>
      </c>
      <c r="B91" s="6" t="inlineStr">
        <is>
          <t>mv_ks_turn_med_mean</t>
        </is>
      </c>
      <c r="C91" s="6" t="inlineStr">
        <is>
          <t>방향·회전(D)</t>
        </is>
      </c>
      <c r="D91" s="6" t="inlineStr">
        <is>
          <t>회전각</t>
        </is>
      </c>
      <c r="E91" s="6" t="inlineStr">
        <is>
          <t>ks_turn_med</t>
        </is>
      </c>
      <c r="F91" s="7" t="inlineStr">
        <is>
          <t>5-step 회전각 중앙값(°)</t>
        </is>
      </c>
      <c r="G91" s="7" t="inlineStr">
        <is>
          <t>출어일마다 이동 시간대 평균 → 출어일들의 평균</t>
        </is>
      </c>
      <c r="H91" s="6" t="inlineStr">
        <is>
          <t>L1→L2→L3</t>
        </is>
      </c>
      <c r="I91" s="6" t="inlineStr">
        <is>
          <t>민성</t>
        </is>
      </c>
      <c r="J91" s="6" t="inlineStr"/>
      <c r="K91" s="6" t="inlineStr"/>
      <c r="L91" s="6" t="inlineStr">
        <is>
          <t>O</t>
        </is>
      </c>
      <c r="M91" s="6" t="inlineStr">
        <is>
          <t>O</t>
        </is>
      </c>
      <c r="N91" s="6" t="inlineStr"/>
      <c r="O91" s="12" t="n">
        <v>0.6</v>
      </c>
      <c r="P91" s="12" t="n">
        <v>0</v>
      </c>
      <c r="Q91" s="6" t="n">
        <v>230</v>
      </c>
      <c r="R91" s="6" t="n">
        <v>87</v>
      </c>
      <c r="S91" s="6" t="inlineStr">
        <is>
          <t>mv_ks_turn_med_median</t>
        </is>
      </c>
    </row>
    <row r="92">
      <c r="A92" s="6" t="n">
        <v>91</v>
      </c>
      <c r="B92" s="6" t="inlineStr">
        <is>
          <t>mv_ks_straight_max_m_mean</t>
        </is>
      </c>
      <c r="C92" s="6" t="inlineStr">
        <is>
          <t>경로형태·직선투망(B)</t>
        </is>
      </c>
      <c r="D92" s="6" t="inlineStr">
        <is>
          <t>직선 투망 형상</t>
        </is>
      </c>
      <c r="E92" s="6" t="inlineStr">
        <is>
          <t>ks_straight_max_m</t>
        </is>
      </c>
      <c r="F92" s="7" t="inlineStr">
        <is>
          <t>5-step 최장 직선 이동(m, 회전 15° 미만 연속) = 투망 길이 추정</t>
        </is>
      </c>
      <c r="G92" s="7" t="inlineStr">
        <is>
          <t>출어일마다 이동 시간대 평균 → 출어일들의 평균</t>
        </is>
      </c>
      <c r="H92" s="6" t="inlineStr">
        <is>
          <t>L1→L2→L3</t>
        </is>
      </c>
      <c r="I92" s="6" t="inlineStr">
        <is>
          <t>민성·가설 B</t>
        </is>
      </c>
      <c r="J92" s="6" t="inlineStr"/>
      <c r="K92" s="6" t="inlineStr">
        <is>
          <t>가설 B(직선 투망)</t>
        </is>
      </c>
      <c r="L92" s="6" t="inlineStr">
        <is>
          <t>O</t>
        </is>
      </c>
      <c r="M92" s="6" t="inlineStr">
        <is>
          <t>O</t>
        </is>
      </c>
      <c r="N92" s="6" t="inlineStr"/>
      <c r="O92" s="12" t="n">
        <v>0.6</v>
      </c>
      <c r="P92" s="12" t="n">
        <v>0</v>
      </c>
      <c r="Q92" s="6" t="n">
        <v>240</v>
      </c>
      <c r="R92" s="6" t="n">
        <v>295</v>
      </c>
      <c r="S92" s="6" t="inlineStr">
        <is>
          <t>mv_bbox_diag_m_mean</t>
        </is>
      </c>
    </row>
    <row r="93">
      <c r="A93" s="6" t="n">
        <v>92</v>
      </c>
      <c r="B93" s="6" t="inlineStr">
        <is>
          <t>mv_slow_run_max_min_mean</t>
        </is>
      </c>
      <c r="C93" s="6" t="inlineStr">
        <is>
          <t>속도 구조(C)</t>
        </is>
      </c>
      <c r="D93" s="6" t="inlineStr">
        <is>
          <t>저속 연속·속도 다양성</t>
        </is>
      </c>
      <c r="E93" s="6" t="inlineStr">
        <is>
          <t>slow_run_max_min</t>
        </is>
      </c>
      <c r="F93" s="7" t="inlineStr">
        <is>
          <t>저속(0.3~2kn) 최장 연속 시간(분) = 양망 추정</t>
        </is>
      </c>
      <c r="G93" s="7" t="inlineStr">
        <is>
          <t>출어일마다 이동 시간대 평균 → 출어일들의 평균</t>
        </is>
      </c>
      <c r="H93" s="6" t="inlineStr">
        <is>
          <t>L1→L2→L3</t>
        </is>
      </c>
      <c r="I93" s="6" t="inlineStr">
        <is>
          <t>가설 C</t>
        </is>
      </c>
      <c r="J93" s="6" t="inlineStr"/>
      <c r="K93" s="6" t="inlineStr">
        <is>
          <t>가설 C(속도 구조)</t>
        </is>
      </c>
      <c r="L93" s="6" t="inlineStr">
        <is>
          <t>O</t>
        </is>
      </c>
      <c r="M93" s="6" t="inlineStr">
        <is>
          <t>O</t>
        </is>
      </c>
      <c r="N93" s="6" t="inlineStr"/>
      <c r="O93" s="12" t="n">
        <v>0.2</v>
      </c>
      <c r="P93" s="12" t="n">
        <v>0</v>
      </c>
      <c r="Q93" s="6" t="n">
        <v>283</v>
      </c>
      <c r="R93" s="6" t="n">
        <v>288</v>
      </c>
      <c r="S93" s="6" t="inlineStr">
        <is>
          <t>mv_slow_run_max_min_median</t>
        </is>
      </c>
    </row>
    <row r="94">
      <c r="A94" s="6" t="n">
        <v>93</v>
      </c>
      <c r="B94" s="6" t="inlineStr">
        <is>
          <t>mv_speed_entropy_mean</t>
        </is>
      </c>
      <c r="C94" s="6" t="inlineStr">
        <is>
          <t>속도 구조(C)</t>
        </is>
      </c>
      <c r="D94" s="6" t="inlineStr">
        <is>
          <t>저속 연속·속도 다양성</t>
        </is>
      </c>
      <c r="E94" s="6" t="inlineStr">
        <is>
          <t>speed_entropy</t>
        </is>
      </c>
      <c r="F94" s="7" t="inlineStr">
        <is>
          <t>속도 구간 분포 엔트로피: 여러 속도를 섞어 쓸수록 큼</t>
        </is>
      </c>
      <c r="G94" s="7" t="inlineStr">
        <is>
          <t>출어일마다 이동 시간대 평균 → 출어일들의 평균</t>
        </is>
      </c>
      <c r="H94" s="6" t="inlineStr">
        <is>
          <t>L1→L2→L3</t>
        </is>
      </c>
      <c r="I94" s="6" t="inlineStr">
        <is>
          <t>가설 C</t>
        </is>
      </c>
      <c r="J94" s="6" t="inlineStr"/>
      <c r="K94" s="6" t="inlineStr">
        <is>
          <t>가설 C(속도 구조)</t>
        </is>
      </c>
      <c r="L94" s="6" t="inlineStr">
        <is>
          <t>O</t>
        </is>
      </c>
      <c r="M94" s="6" t="inlineStr">
        <is>
          <t>O</t>
        </is>
      </c>
      <c r="N94" s="6" t="inlineStr"/>
      <c r="O94" s="12" t="n">
        <v>0.2</v>
      </c>
      <c r="P94" s="12" t="n">
        <v>0</v>
      </c>
      <c r="Q94" s="6" t="n">
        <v>288</v>
      </c>
      <c r="R94" s="6" t="n">
        <v>148</v>
      </c>
      <c r="S94" s="6" t="inlineStr">
        <is>
          <t>mv_speed_entropy_median</t>
        </is>
      </c>
    </row>
    <row r="95">
      <c r="A95" s="6" t="n">
        <v>94</v>
      </c>
      <c r="B95" s="6" t="inlineStr">
        <is>
          <t>mv_n_stays_mean</t>
        </is>
      </c>
      <c r="C95" s="6" t="inlineStr">
        <is>
          <t>체류점</t>
        </is>
      </c>
      <c r="D95" s="6" t="inlineStr">
        <is>
          <t>체류점</t>
        </is>
      </c>
      <c r="E95" s="6" t="inlineStr">
        <is>
          <t>n_stays</t>
        </is>
      </c>
      <c r="F95" s="7" t="inlineStr">
        <is>
          <t>체류점 횟수 (반경 30m 안에 3점 이상 머묾)</t>
        </is>
      </c>
      <c r="G95" s="7" t="inlineStr">
        <is>
          <t>출어일마다 이동 시간대 평균 → 출어일들의 평균</t>
        </is>
      </c>
      <c r="H95" s="6" t="inlineStr">
        <is>
          <t>L1→L2→L3</t>
        </is>
      </c>
      <c r="I95" s="6" t="inlineStr">
        <is>
          <t>민성</t>
        </is>
      </c>
      <c r="J95" s="6" t="inlineStr"/>
      <c r="K95" s="6" t="inlineStr">
        <is>
          <t>가설 관련</t>
        </is>
      </c>
      <c r="L95" s="6" t="inlineStr">
        <is>
          <t>O</t>
        </is>
      </c>
      <c r="M95" s="6" t="inlineStr">
        <is>
          <t>O</t>
        </is>
      </c>
      <c r="N95" s="6" t="inlineStr"/>
      <c r="O95" s="12" t="n">
        <v>0.2</v>
      </c>
      <c r="P95" s="12" t="n">
        <v>0.2</v>
      </c>
      <c r="Q95" s="6" t="n">
        <v>276</v>
      </c>
      <c r="R95" s="6" t="n">
        <v>68</v>
      </c>
      <c r="S95" s="6" t="inlineStr">
        <is>
          <t>mv_n_stays_median</t>
        </is>
      </c>
    </row>
    <row r="96">
      <c r="A96" s="6" t="n">
        <v>95</v>
      </c>
      <c r="B96" s="6" t="inlineStr">
        <is>
          <t>mv_stay_frac_mean</t>
        </is>
      </c>
      <c r="C96" s="6" t="inlineStr">
        <is>
          <t>체류점</t>
        </is>
      </c>
      <c r="D96" s="6" t="inlineStr">
        <is>
          <t>체류점</t>
        </is>
      </c>
      <c r="E96" s="6" t="inlineStr">
        <is>
          <t>stay_frac</t>
        </is>
      </c>
      <c r="F96" s="7" t="inlineStr">
        <is>
          <t>체류점에 속한 점 비율</t>
        </is>
      </c>
      <c r="G96" s="7" t="inlineStr">
        <is>
          <t>출어일마다 이동 시간대 평균 → 출어일들의 평균</t>
        </is>
      </c>
      <c r="H96" s="6" t="inlineStr">
        <is>
          <t>L1→L2→L3</t>
        </is>
      </c>
      <c r="I96" s="6" t="inlineStr">
        <is>
          <t>민성</t>
        </is>
      </c>
      <c r="J96" s="6" t="inlineStr"/>
      <c r="K96" s="6" t="inlineStr">
        <is>
          <t>가설 관련</t>
        </is>
      </c>
      <c r="L96" s="6" t="inlineStr">
        <is>
          <t>O</t>
        </is>
      </c>
      <c r="M96" s="6" t="inlineStr">
        <is>
          <t>O</t>
        </is>
      </c>
      <c r="N96" s="6" t="inlineStr"/>
      <c r="O96" s="12" t="n">
        <v>0.2</v>
      </c>
      <c r="P96" s="12" t="n">
        <v>0</v>
      </c>
      <c r="Q96" s="6" t="n">
        <v>301</v>
      </c>
      <c r="R96" s="6" t="n">
        <v>276</v>
      </c>
      <c r="S96" s="6" t="inlineStr">
        <is>
          <t>mv_stay_frac_median</t>
        </is>
      </c>
    </row>
    <row r="97">
      <c r="A97" s="6" t="n">
        <v>96</v>
      </c>
      <c r="B97" s="6" t="inlineStr">
        <is>
          <t>mv_spec_entropy_mean</t>
        </is>
      </c>
      <c r="C97" s="6" t="inlineStr">
        <is>
          <t>속도 구조(C)</t>
        </is>
      </c>
      <c r="D97" s="6" t="inlineStr">
        <is>
          <t>이동 리듬(스펙트럼)</t>
        </is>
      </c>
      <c r="E97" s="6" t="inlineStr">
        <is>
          <t>spec_entropy</t>
        </is>
      </c>
      <c r="F97" s="7" t="inlineStr">
        <is>
          <t>step 길이 스펙트럼 엔트로피: 이동 리듬의 불규칙성</t>
        </is>
      </c>
      <c r="G97" s="7" t="inlineStr">
        <is>
          <t>출어일마다 이동 시간대 평균 → 출어일들의 평균</t>
        </is>
      </c>
      <c r="H97" s="6" t="inlineStr">
        <is>
          <t>L1→L2→L3</t>
        </is>
      </c>
      <c r="I97" s="6" t="inlineStr">
        <is>
          <t>진우</t>
        </is>
      </c>
      <c r="J97" s="6" t="inlineStr"/>
      <c r="K97" s="6" t="inlineStr"/>
      <c r="L97" s="6" t="inlineStr">
        <is>
          <t>O</t>
        </is>
      </c>
      <c r="M97" s="6" t="inlineStr">
        <is>
          <t>O</t>
        </is>
      </c>
      <c r="N97" s="6" t="inlineStr"/>
      <c r="O97" s="12" t="n">
        <v>1</v>
      </c>
      <c r="P97" s="12" t="n">
        <v>0</v>
      </c>
      <c r="Q97" s="6" t="n">
        <v>137</v>
      </c>
      <c r="R97" s="6" t="n">
        <v>134</v>
      </c>
      <c r="S97" s="6" t="inlineStr"/>
    </row>
    <row r="98">
      <c r="A98" s="6" t="n">
        <v>97</v>
      </c>
      <c r="B98" s="6" t="inlineStr">
        <is>
          <t>mv_lowfreq_ratio_mean</t>
        </is>
      </c>
      <c r="C98" s="6" t="inlineStr">
        <is>
          <t>속도 구조(C)</t>
        </is>
      </c>
      <c r="D98" s="6" t="inlineStr">
        <is>
          <t>이동 리듬(스펙트럼)</t>
        </is>
      </c>
      <c r="E98" s="6" t="inlineStr">
        <is>
          <t>lowfreq_ratio</t>
        </is>
      </c>
      <c r="F98" s="7" t="inlineStr">
        <is>
          <t>step 저주파 에너지 비율: 느린 주기 변화의 비중</t>
        </is>
      </c>
      <c r="G98" s="7" t="inlineStr">
        <is>
          <t>출어일마다 이동 시간대 평균 → 출어일들의 평균</t>
        </is>
      </c>
      <c r="H98" s="6" t="inlineStr">
        <is>
          <t>L1→L2→L3</t>
        </is>
      </c>
      <c r="I98" s="6" t="inlineStr">
        <is>
          <t>진우</t>
        </is>
      </c>
      <c r="J98" s="6" t="inlineStr"/>
      <c r="K98" s="6" t="inlineStr"/>
      <c r="L98" s="6" t="inlineStr">
        <is>
          <t>O</t>
        </is>
      </c>
      <c r="M98" s="6" t="inlineStr">
        <is>
          <t>O</t>
        </is>
      </c>
      <c r="N98" s="6" t="inlineStr"/>
      <c r="O98" s="12" t="n">
        <v>0.6</v>
      </c>
      <c r="P98" s="12" t="n">
        <v>0.2</v>
      </c>
      <c r="Q98" s="6" t="n">
        <v>236</v>
      </c>
      <c r="R98" s="6" t="n">
        <v>75</v>
      </c>
      <c r="S98" s="6" t="inlineStr">
        <is>
          <t>mv_lowfreq_ratio_median</t>
        </is>
      </c>
    </row>
    <row r="99">
      <c r="A99" s="6" t="n">
        <v>98</v>
      </c>
      <c r="B99" s="6" t="inlineStr">
        <is>
          <t>mv_step_cv_mean</t>
        </is>
      </c>
      <c r="C99" s="6" t="inlineStr">
        <is>
          <t>속도 구조(C)</t>
        </is>
      </c>
      <c r="D99" s="6" t="inlineStr">
        <is>
          <t>점 간 step 크기</t>
        </is>
      </c>
      <c r="E99" s="6" t="inlineStr">
        <is>
          <t>step_cv</t>
        </is>
      </c>
      <c r="F99" s="7" t="inlineStr">
        <is>
          <t>step 변동계수: 이동 크기가 들쭉날쭉한 정도</t>
        </is>
      </c>
      <c r="G99" s="7" t="inlineStr">
        <is>
          <t>출어일마다 이동 시간대 평균 → 출어일들의 평균</t>
        </is>
      </c>
      <c r="H99" s="6" t="inlineStr">
        <is>
          <t>L1→L2→L3</t>
        </is>
      </c>
      <c r="I99" s="6" t="inlineStr">
        <is>
          <t>민성</t>
        </is>
      </c>
      <c r="J99" s="6" t="inlineStr"/>
      <c r="K99" s="6" t="inlineStr"/>
      <c r="L99" s="6" t="inlineStr">
        <is>
          <t>O</t>
        </is>
      </c>
      <c r="M99" s="6" t="inlineStr">
        <is>
          <t>O</t>
        </is>
      </c>
      <c r="N99" s="6" t="inlineStr"/>
      <c r="O99" s="12" t="n">
        <v>0.2</v>
      </c>
      <c r="P99" s="12" t="n">
        <v>0</v>
      </c>
      <c r="Q99" s="6" t="n">
        <v>308</v>
      </c>
      <c r="R99" s="6" t="n">
        <v>338</v>
      </c>
      <c r="S99" s="6" t="inlineStr">
        <is>
          <t>mv_step_cv_median</t>
        </is>
      </c>
    </row>
    <row r="100">
      <c r="A100" s="6" t="n">
        <v>99</v>
      </c>
      <c r="B100" s="6" t="inlineStr">
        <is>
          <t>mv_spike_ratio_mean</t>
        </is>
      </c>
      <c r="C100" s="6" t="inlineStr">
        <is>
          <t>품질·기록량</t>
        </is>
      </c>
      <c r="D100" s="6" t="inlineStr">
        <is>
          <t>GPS 튐·정제</t>
        </is>
      </c>
      <c r="E100" s="6" t="inlineStr">
        <is>
          <t>spike_ratio</t>
        </is>
      </c>
      <c r="F100" s="7" t="inlineStr">
        <is>
          <t>튐 점 비율</t>
        </is>
      </c>
      <c r="G100" s="7" t="inlineStr">
        <is>
          <t>출어일마다 이동 시간대 평균 → 출어일들의 평균</t>
        </is>
      </c>
      <c r="H100" s="6" t="inlineStr">
        <is>
          <t>L1→L2→L3</t>
        </is>
      </c>
      <c r="I100" s="6" t="inlineStr">
        <is>
          <t>나연·지유</t>
        </is>
      </c>
      <c r="J100" s="6" t="inlineStr"/>
      <c r="K100" s="6" t="inlineStr"/>
      <c r="L100" s="6" t="inlineStr">
        <is>
          <t>O</t>
        </is>
      </c>
      <c r="M100" s="6" t="inlineStr">
        <is>
          <t>O</t>
        </is>
      </c>
      <c r="N100" s="6" t="inlineStr"/>
      <c r="O100" s="12" t="n">
        <v>1</v>
      </c>
      <c r="P100" s="12" t="n">
        <v>0</v>
      </c>
      <c r="Q100" s="6" t="n">
        <v>144</v>
      </c>
      <c r="R100" s="6" t="n">
        <v>213</v>
      </c>
      <c r="S100" s="6" t="inlineStr"/>
    </row>
    <row r="101">
      <c r="A101" s="6" t="n">
        <v>100</v>
      </c>
      <c r="B101" s="6" t="inlineStr">
        <is>
          <t>mv_raw_clean_ratio_mean</t>
        </is>
      </c>
      <c r="C101" s="6" t="inlineStr">
        <is>
          <t>품질·기록량</t>
        </is>
      </c>
      <c r="D101" s="6" t="inlineStr">
        <is>
          <t>GPS 튐·정제</t>
        </is>
      </c>
      <c r="E101" s="6" t="inlineStr">
        <is>
          <t>raw_clean_ratio</t>
        </is>
      </c>
      <c r="F101" s="7" t="inlineStr">
        <is>
          <t>원거리 / 정제거리</t>
        </is>
      </c>
      <c r="G101" s="7" t="inlineStr">
        <is>
          <t>출어일마다 이동 시간대 평균 → 출어일들의 평균</t>
        </is>
      </c>
      <c r="H101" s="6" t="inlineStr">
        <is>
          <t>L1→L2→L3</t>
        </is>
      </c>
      <c r="I101" s="6" t="inlineStr">
        <is>
          <t>지유</t>
        </is>
      </c>
      <c r="J101" s="6" t="inlineStr"/>
      <c r="K101" s="6" t="inlineStr"/>
      <c r="L101" s="6" t="inlineStr">
        <is>
          <t>O</t>
        </is>
      </c>
      <c r="M101" s="6" t="inlineStr">
        <is>
          <t>O</t>
        </is>
      </c>
      <c r="N101" s="6" t="inlineStr"/>
      <c r="O101" s="12" t="n">
        <v>1</v>
      </c>
      <c r="P101" s="12" t="n">
        <v>0</v>
      </c>
      <c r="Q101" s="6" t="n">
        <v>79</v>
      </c>
      <c r="R101" s="6" t="n">
        <v>108</v>
      </c>
      <c r="S101" s="6" t="inlineStr"/>
    </row>
    <row r="102">
      <c r="A102" s="6" t="n">
        <v>101</v>
      </c>
      <c r="B102" s="6" t="inlineStr">
        <is>
          <t>mv_n_segments_mean</t>
        </is>
      </c>
      <c r="C102" s="6" t="inlineStr">
        <is>
          <t>품질·기록량</t>
        </is>
      </c>
      <c r="D102" s="6" t="inlineStr">
        <is>
          <t>기록량</t>
        </is>
      </c>
      <c r="E102" s="6" t="inlineStr">
        <is>
          <t>n_segments</t>
        </is>
      </c>
      <c r="F102" s="7" t="inlineStr">
        <is>
          <t>MultiLineString 구간 수 (신호 끊김+1)</t>
        </is>
      </c>
      <c r="G102" s="7" t="inlineStr">
        <is>
          <t>출어일마다 이동 시간대 평균 → 출어일들의 평균</t>
        </is>
      </c>
      <c r="H102" s="6" t="inlineStr">
        <is>
          <t>L1→L2→L3</t>
        </is>
      </c>
      <c r="I102" s="6" t="inlineStr">
        <is>
          <t>지유·나연·진우</t>
        </is>
      </c>
      <c r="J102" s="6" t="inlineStr"/>
      <c r="K102" s="6" t="inlineStr"/>
      <c r="L102" s="6" t="inlineStr">
        <is>
          <t>O</t>
        </is>
      </c>
      <c r="M102" s="6" t="inlineStr">
        <is>
          <t>O</t>
        </is>
      </c>
      <c r="N102" s="6" t="inlineStr"/>
      <c r="O102" s="12" t="n">
        <v>0.2</v>
      </c>
      <c r="P102" s="12" t="n">
        <v>0</v>
      </c>
      <c r="Q102" s="6" t="n">
        <v>299</v>
      </c>
      <c r="R102" s="6" t="n">
        <v>323</v>
      </c>
      <c r="S102" s="6" t="inlineStr">
        <is>
          <t>mv_n_segments_median</t>
        </is>
      </c>
    </row>
    <row r="103">
      <c r="A103" s="6" t="n">
        <v>102</v>
      </c>
      <c r="B103" s="6" t="inlineStr">
        <is>
          <t>mv_n_points_mean</t>
        </is>
      </c>
      <c r="C103" s="6" t="inlineStr">
        <is>
          <t>품질·기록량</t>
        </is>
      </c>
      <c r="D103" s="6" t="inlineStr">
        <is>
          <t>기록량</t>
        </is>
      </c>
      <c r="E103" s="6" t="inlineStr">
        <is>
          <t>n_points</t>
        </is>
      </c>
      <c r="F103" s="7" t="inlineStr">
        <is>
          <t>튐 제거 후 점 수</t>
        </is>
      </c>
      <c r="G103" s="7" t="inlineStr">
        <is>
          <t>출어일마다 이동 시간대 평균 → 출어일들의 평균</t>
        </is>
      </c>
      <c r="H103" s="6" t="inlineStr">
        <is>
          <t>L1→L2→L3</t>
        </is>
      </c>
      <c r="I103" s="6" t="inlineStr">
        <is>
          <t>지유·나연·진우</t>
        </is>
      </c>
      <c r="J103" s="6" t="inlineStr"/>
      <c r="K103" s="6" t="inlineStr"/>
      <c r="L103" s="6" t="inlineStr">
        <is>
          <t>O</t>
        </is>
      </c>
      <c r="M103" s="6" t="inlineStr">
        <is>
          <t>O</t>
        </is>
      </c>
      <c r="N103" s="6" t="inlineStr"/>
      <c r="O103" s="12" t="n">
        <v>0</v>
      </c>
      <c r="P103" s="12" t="n">
        <v>0</v>
      </c>
      <c r="Q103" s="6" t="n">
        <v>336</v>
      </c>
      <c r="R103" s="6" t="n">
        <v>249</v>
      </c>
      <c r="S103" s="6" t="inlineStr">
        <is>
          <t>mv_n_points_median</t>
        </is>
      </c>
    </row>
    <row r="104">
      <c r="A104" s="6" t="n">
        <v>103</v>
      </c>
      <c r="B104" s="6" t="inlineStr">
        <is>
          <t>mv_bin_dispersion_m_mean</t>
        </is>
      </c>
      <c r="C104" s="6" t="inlineStr">
        <is>
          <t>품질·기록량</t>
        </is>
      </c>
      <c r="D104" s="6" t="inlineStr">
        <is>
          <t>GPS 튐·정제</t>
        </is>
      </c>
      <c r="E104" s="6" t="inlineStr">
        <is>
          <t>bin_dispersion_m</t>
        </is>
      </c>
      <c r="F104" s="7" t="inlineStr">
        <is>
          <t>10분 구간 내 점 흩어짐(m)</t>
        </is>
      </c>
      <c r="G104" s="7" t="inlineStr">
        <is>
          <t>출어일마다 이동 시간대 평균 → 출어일들의 평균</t>
        </is>
      </c>
      <c r="H104" s="6" t="inlineStr">
        <is>
          <t>L1→L2→L3</t>
        </is>
      </c>
      <c r="I104" s="6" t="inlineStr">
        <is>
          <t>나연</t>
        </is>
      </c>
      <c r="J104" s="6" t="inlineStr"/>
      <c r="K104" s="6" t="inlineStr"/>
      <c r="L104" s="6" t="inlineStr">
        <is>
          <t>O</t>
        </is>
      </c>
      <c r="M104" s="6" t="inlineStr">
        <is>
          <t>O</t>
        </is>
      </c>
      <c r="N104" s="6" t="inlineStr"/>
      <c r="O104" s="12" t="n">
        <v>0</v>
      </c>
      <c r="P104" s="12" t="n">
        <v>0</v>
      </c>
      <c r="Q104" s="6" t="n">
        <v>335</v>
      </c>
      <c r="R104" s="6" t="n">
        <v>314</v>
      </c>
      <c r="S104" s="6" t="inlineStr">
        <is>
          <t>mv_bin_dispersion_m_median</t>
        </is>
      </c>
    </row>
    <row r="105">
      <c r="A105" s="6" t="n">
        <v>104</v>
      </c>
      <c r="B105" s="6" t="inlineStr">
        <is>
          <t>n_hours_median</t>
        </is>
      </c>
      <c r="C105" s="6" t="inlineStr">
        <is>
          <t>시간 사용·항차</t>
        </is>
      </c>
      <c r="D105" s="6" t="inlineStr">
        <is>
          <t>출어 활동량</t>
        </is>
      </c>
      <c r="E105" s="6" t="inlineStr">
        <is>
          <t>n_hours</t>
        </is>
      </c>
      <c r="F105" s="7" t="inlineStr">
        <is>
          <t>하루 기록 시간대 수</t>
        </is>
      </c>
      <c r="G105" s="7" t="inlineStr">
        <is>
          <t>출어일 값들의 중앙값</t>
        </is>
      </c>
      <c r="H105" s="6" t="inlineStr">
        <is>
          <t>L2→L3</t>
        </is>
      </c>
      <c r="I105" s="6" t="inlineStr">
        <is>
          <t>나연·민성</t>
        </is>
      </c>
      <c r="J105" s="6" t="inlineStr"/>
      <c r="K105" s="6" t="inlineStr"/>
      <c r="L105" s="6" t="inlineStr">
        <is>
          <t>O</t>
        </is>
      </c>
      <c r="M105" s="6" t="inlineStr">
        <is>
          <t>O</t>
        </is>
      </c>
      <c r="N105" s="6" t="inlineStr"/>
      <c r="O105" s="12" t="n">
        <v>0.4</v>
      </c>
      <c r="P105" s="12" t="n">
        <v>0</v>
      </c>
      <c r="Q105" s="6" t="n">
        <v>268</v>
      </c>
      <c r="R105" s="6" t="n">
        <v>266</v>
      </c>
      <c r="S105" s="6" t="inlineStr">
        <is>
          <t>active_span_h_median</t>
        </is>
      </c>
    </row>
    <row r="106">
      <c r="A106" s="6" t="n">
        <v>105</v>
      </c>
      <c r="B106" s="6" t="inlineStr">
        <is>
          <t>n_moving_hours_median</t>
        </is>
      </c>
      <c r="C106" s="6" t="inlineStr">
        <is>
          <t>시간 사용·항차</t>
        </is>
      </c>
      <c r="D106" s="6" t="inlineStr">
        <is>
          <t>출어 활동량</t>
        </is>
      </c>
      <c r="E106" s="6" t="inlineStr">
        <is>
          <t>n_moving_hours</t>
        </is>
      </c>
      <c r="F106" s="7" t="inlineStr">
        <is>
          <t>이동 시간대 수</t>
        </is>
      </c>
      <c r="G106" s="7" t="inlineStr">
        <is>
          <t>출어일 값들의 중앙값</t>
        </is>
      </c>
      <c r="H106" s="6" t="inlineStr">
        <is>
          <t>L2→L3</t>
        </is>
      </c>
      <c r="I106" s="6" t="inlineStr">
        <is>
          <t>나연</t>
        </is>
      </c>
      <c r="J106" s="6" t="inlineStr"/>
      <c r="K106" s="6" t="inlineStr"/>
      <c r="L106" s="6" t="inlineStr">
        <is>
          <t>O</t>
        </is>
      </c>
      <c r="M106" s="6" t="inlineStr">
        <is>
          <t>O</t>
        </is>
      </c>
      <c r="N106" s="6" t="inlineStr"/>
      <c r="O106" s="12" t="n">
        <v>0.8</v>
      </c>
      <c r="P106" s="12" t="n">
        <v>0</v>
      </c>
      <c r="Q106" s="6" t="n">
        <v>220</v>
      </c>
      <c r="R106" s="6" t="n">
        <v>297</v>
      </c>
      <c r="S106" s="6" t="inlineStr">
        <is>
          <t>n_moving_hours_mean</t>
        </is>
      </c>
    </row>
    <row r="107">
      <c r="A107" s="6" t="n">
        <v>106</v>
      </c>
      <c r="B107" s="6" t="inlineStr">
        <is>
          <t>moving_ratio_median</t>
        </is>
      </c>
      <c r="C107" s="6" t="inlineStr">
        <is>
          <t>시간 사용·항차</t>
        </is>
      </c>
      <c r="D107" s="6" t="inlineStr">
        <is>
          <t>출어 활동량</t>
        </is>
      </c>
      <c r="E107" s="6" t="inlineStr">
        <is>
          <t>moving_ratio</t>
        </is>
      </c>
      <c r="F107" s="7" t="inlineStr">
        <is>
          <t>이동 시간대 비율</t>
        </is>
      </c>
      <c r="G107" s="7" t="inlineStr">
        <is>
          <t>출어일 값들의 중앙값</t>
        </is>
      </c>
      <c r="H107" s="6" t="inlineStr">
        <is>
          <t>L2→L3</t>
        </is>
      </c>
      <c r="I107" s="6" t="inlineStr">
        <is>
          <t>나연</t>
        </is>
      </c>
      <c r="J107" s="6" t="inlineStr"/>
      <c r="K107" s="6" t="inlineStr"/>
      <c r="L107" s="6" t="inlineStr">
        <is>
          <t>O</t>
        </is>
      </c>
      <c r="M107" s="6" t="inlineStr">
        <is>
          <t>O</t>
        </is>
      </c>
      <c r="N107" s="6" t="inlineStr"/>
      <c r="O107" s="12" t="n">
        <v>0.8</v>
      </c>
      <c r="P107" s="12" t="n">
        <v>0</v>
      </c>
      <c r="Q107" s="6" t="n">
        <v>207</v>
      </c>
      <c r="R107" s="6" t="n">
        <v>169</v>
      </c>
      <c r="S107" s="6" t="inlineStr">
        <is>
          <t>moving_ratio_mean</t>
        </is>
      </c>
    </row>
    <row r="108">
      <c r="A108" s="6" t="n">
        <v>107</v>
      </c>
      <c r="B108" s="6" t="inlineStr">
        <is>
          <t>active_span_h_median</t>
        </is>
      </c>
      <c r="C108" s="6" t="inlineStr">
        <is>
          <t>하루 리듬·시각(E)</t>
        </is>
      </c>
      <c r="D108" s="6" t="inlineStr">
        <is>
          <t>조업 시간 폭</t>
        </is>
      </c>
      <c r="E108" s="6" t="inlineStr">
        <is>
          <t>active_span_h</t>
        </is>
      </c>
      <c r="F108" s="7" t="inlineStr">
        <is>
          <t>첫~마지막 기록 시간 폭</t>
        </is>
      </c>
      <c r="G108" s="7" t="inlineStr">
        <is>
          <t>출어일 값들의 중앙값</t>
        </is>
      </c>
      <c r="H108" s="6" t="inlineStr">
        <is>
          <t>L2→L3</t>
        </is>
      </c>
      <c r="I108" s="6" t="inlineStr">
        <is>
          <t>나연</t>
        </is>
      </c>
      <c r="J108" s="6" t="inlineStr"/>
      <c r="K108" s="6" t="inlineStr"/>
      <c r="L108" s="6" t="inlineStr">
        <is>
          <t>O</t>
        </is>
      </c>
      <c r="M108" s="6" t="inlineStr">
        <is>
          <t>O</t>
        </is>
      </c>
      <c r="N108" s="6" t="inlineStr"/>
      <c r="O108" s="12" t="n">
        <v>0.6</v>
      </c>
      <c r="P108" s="12" t="n">
        <v>0</v>
      </c>
      <c r="Q108" s="6" t="n">
        <v>239</v>
      </c>
      <c r="R108" s="6" t="n">
        <v>216</v>
      </c>
      <c r="S108" s="6" t="inlineStr">
        <is>
          <t>active_span_h_mean</t>
        </is>
      </c>
    </row>
    <row r="109">
      <c r="A109" s="6" t="n">
        <v>108</v>
      </c>
      <c r="B109" s="6" t="inlineStr">
        <is>
          <t>first_hour_median</t>
        </is>
      </c>
      <c r="C109" s="6" t="inlineStr">
        <is>
          <t>하루 리듬·시각(E)</t>
        </is>
      </c>
      <c r="D109" s="6" t="inlineStr">
        <is>
          <t>시작·종료 시각</t>
        </is>
      </c>
      <c r="E109" s="6" t="inlineStr">
        <is>
          <t>first_hour</t>
        </is>
      </c>
      <c r="F109" s="7" t="inlineStr">
        <is>
          <t>첫 기록 시각</t>
        </is>
      </c>
      <c r="G109" s="7" t="inlineStr">
        <is>
          <t>출어일 값들의 중앙값</t>
        </is>
      </c>
      <c r="H109" s="6" t="inlineStr">
        <is>
          <t>L2→L3</t>
        </is>
      </c>
      <c r="I109" s="6" t="inlineStr">
        <is>
          <t>민성·지유</t>
        </is>
      </c>
      <c r="J109" s="6" t="inlineStr"/>
      <c r="K109" s="6" t="inlineStr"/>
      <c r="L109" s="6" t="inlineStr">
        <is>
          <t>O</t>
        </is>
      </c>
      <c r="M109" s="6" t="inlineStr">
        <is>
          <t>O</t>
        </is>
      </c>
      <c r="N109" s="6" t="inlineStr"/>
      <c r="O109" s="12" t="n">
        <v>1</v>
      </c>
      <c r="P109" s="12" t="n">
        <v>0</v>
      </c>
      <c r="Q109" s="6" t="n">
        <v>139</v>
      </c>
      <c r="R109" s="6" t="n">
        <v>285</v>
      </c>
      <c r="S109" s="6" t="inlineStr"/>
    </row>
    <row r="110">
      <c r="A110" s="6" t="n">
        <v>109</v>
      </c>
      <c r="B110" s="6" t="inlineStr">
        <is>
          <t>last_hour_median</t>
        </is>
      </c>
      <c r="C110" s="6" t="inlineStr">
        <is>
          <t>하루 리듬·시각(E)</t>
        </is>
      </c>
      <c r="D110" s="6" t="inlineStr">
        <is>
          <t>시작·종료 시각</t>
        </is>
      </c>
      <c r="E110" s="6" t="inlineStr">
        <is>
          <t>last_hour</t>
        </is>
      </c>
      <c r="F110" s="7" t="inlineStr">
        <is>
          <t>마지막 기록 시각</t>
        </is>
      </c>
      <c r="G110" s="7" t="inlineStr">
        <is>
          <t>출어일 값들의 중앙값</t>
        </is>
      </c>
      <c r="H110" s="6" t="inlineStr">
        <is>
          <t>L2→L3</t>
        </is>
      </c>
      <c r="I110" s="6" t="inlineStr">
        <is>
          <t>민성·지유</t>
        </is>
      </c>
      <c r="J110" s="6" t="inlineStr"/>
      <c r="K110" s="6" t="inlineStr"/>
      <c r="L110" s="6" t="inlineStr">
        <is>
          <t>O</t>
        </is>
      </c>
      <c r="M110" s="6" t="inlineStr">
        <is>
          <t>O</t>
        </is>
      </c>
      <c r="N110" s="6" t="inlineStr"/>
      <c r="O110" s="12" t="n">
        <v>0.2</v>
      </c>
      <c r="P110" s="12" t="n">
        <v>0</v>
      </c>
      <c r="Q110" s="6" t="n">
        <v>282</v>
      </c>
      <c r="R110" s="6" t="n">
        <v>147</v>
      </c>
      <c r="S110" s="6" t="inlineStr">
        <is>
          <t>last_hour_mean</t>
        </is>
      </c>
    </row>
    <row r="111">
      <c r="A111" s="6" t="n">
        <v>110</v>
      </c>
      <c r="B111" s="6" t="inlineStr">
        <is>
          <t>dist_day_km_median</t>
        </is>
      </c>
      <c r="C111" s="6" t="inlineStr">
        <is>
          <t>이동량·공간범위</t>
        </is>
      </c>
      <c r="D111" s="6" t="inlineStr">
        <is>
          <t>이동거리</t>
        </is>
      </c>
      <c r="E111" s="6" t="inlineStr">
        <is>
          <t>dist_day_km</t>
        </is>
      </c>
      <c r="F111" s="7" t="inlineStr">
        <is>
          <t>하루 평활 이동거리(km)</t>
        </is>
      </c>
      <c r="G111" s="7" t="inlineStr">
        <is>
          <t>출어일 값들의 중앙값</t>
        </is>
      </c>
      <c r="H111" s="6" t="inlineStr">
        <is>
          <t>L2→L3</t>
        </is>
      </c>
      <c r="I111" s="6" t="inlineStr">
        <is>
          <t>나연·지유</t>
        </is>
      </c>
      <c r="J111" s="6" t="inlineStr"/>
      <c r="K111" s="6" t="inlineStr"/>
      <c r="L111" s="6" t="inlineStr">
        <is>
          <t>O</t>
        </is>
      </c>
      <c r="M111" s="6" t="inlineStr">
        <is>
          <t>O</t>
        </is>
      </c>
      <c r="N111" s="6" t="inlineStr"/>
      <c r="O111" s="12" t="n">
        <v>0.8</v>
      </c>
      <c r="P111" s="12" t="n">
        <v>0</v>
      </c>
      <c r="Q111" s="6" t="n">
        <v>210</v>
      </c>
      <c r="R111" s="6" t="n">
        <v>205</v>
      </c>
      <c r="S111" s="6" t="inlineStr">
        <is>
          <t>dist_day_km_mean</t>
        </is>
      </c>
    </row>
    <row r="112">
      <c r="A112" s="6" t="n">
        <v>111</v>
      </c>
      <c r="B112" s="6" t="inlineStr">
        <is>
          <t>jump_share_day_median</t>
        </is>
      </c>
      <c r="C112" s="6" t="inlineStr">
        <is>
          <t>품질·기록량</t>
        </is>
      </c>
      <c r="D112" s="6" t="inlineStr">
        <is>
          <t>GPS 튐·정제</t>
        </is>
      </c>
      <c r="E112" s="6" t="inlineStr">
        <is>
          <t>jump_share_day</t>
        </is>
      </c>
      <c r="F112" s="7" t="inlineStr">
        <is>
          <t>튐 비중 = 1 − 평활/원거리</t>
        </is>
      </c>
      <c r="G112" s="7" t="inlineStr">
        <is>
          <t>출어일 값들의 중앙값</t>
        </is>
      </c>
      <c r="H112" s="6" t="inlineStr">
        <is>
          <t>L2→L3</t>
        </is>
      </c>
      <c r="I112" s="6" t="inlineStr">
        <is>
          <t>나연</t>
        </is>
      </c>
      <c r="J112" s="6" t="inlineStr"/>
      <c r="K112" s="6" t="inlineStr"/>
      <c r="L112" s="6" t="inlineStr">
        <is>
          <t>O</t>
        </is>
      </c>
      <c r="M112" s="6" t="inlineStr">
        <is>
          <t>O</t>
        </is>
      </c>
      <c r="N112" s="6" t="inlineStr"/>
      <c r="O112" s="12" t="n">
        <v>0.8</v>
      </c>
      <c r="P112" s="12" t="n">
        <v>0</v>
      </c>
      <c r="Q112" s="6" t="n">
        <v>225</v>
      </c>
      <c r="R112" s="6" t="n">
        <v>317</v>
      </c>
      <c r="S112" s="6" t="inlineStr">
        <is>
          <t>jump_share_day_mean</t>
        </is>
      </c>
    </row>
    <row r="113">
      <c r="A113" s="6" t="n">
        <v>112</v>
      </c>
      <c r="B113" s="6" t="inlineStr">
        <is>
          <t>day_net_disp_km_median</t>
        </is>
      </c>
      <c r="C113" s="6" t="inlineStr">
        <is>
          <t>이동량·공간범위</t>
        </is>
      </c>
      <c r="D113" s="6" t="inlineStr">
        <is>
          <t>변위·이격</t>
        </is>
      </c>
      <c r="E113" s="6" t="inlineStr">
        <is>
          <t>day_net_disp_km</t>
        </is>
      </c>
      <c r="F113" s="7" t="inlineStr">
        <is>
          <t>하루 시작→끝 변위(km)</t>
        </is>
      </c>
      <c r="G113" s="7" t="inlineStr">
        <is>
          <t>출어일 값들의 중앙값</t>
        </is>
      </c>
      <c r="H113" s="6" t="inlineStr">
        <is>
          <t>L2→L3</t>
        </is>
      </c>
      <c r="I113" s="6" t="inlineStr">
        <is>
          <t>나연</t>
        </is>
      </c>
      <c r="J113" s="6" t="inlineStr"/>
      <c r="K113" s="6" t="inlineStr"/>
      <c r="L113" s="6" t="inlineStr">
        <is>
          <t>O</t>
        </is>
      </c>
      <c r="M113" s="6" t="inlineStr">
        <is>
          <t>O</t>
        </is>
      </c>
      <c r="N113" s="6" t="inlineStr"/>
      <c r="O113" s="12" t="n">
        <v>1</v>
      </c>
      <c r="P113" s="12" t="n">
        <v>0.2</v>
      </c>
      <c r="Q113" s="6" t="n">
        <v>90</v>
      </c>
      <c r="R113" s="6" t="n">
        <v>59</v>
      </c>
      <c r="S113" s="6" t="inlineStr"/>
    </row>
    <row r="114">
      <c r="A114" s="6" t="n">
        <v>113</v>
      </c>
      <c r="B114" s="6" t="inlineStr">
        <is>
          <t>day_straightness_median</t>
        </is>
      </c>
      <c r="C114" s="6" t="inlineStr">
        <is>
          <t>경로형태·직선투망(B)</t>
        </is>
      </c>
      <c r="D114" s="6" t="inlineStr">
        <is>
          <t>직진도·구불거림</t>
        </is>
      </c>
      <c r="E114" s="6" t="inlineStr">
        <is>
          <t>day_straightness</t>
        </is>
      </c>
      <c r="F114" s="7" t="inlineStr">
        <is>
          <t>하루 직진도 = 변위/거리</t>
        </is>
      </c>
      <c r="G114" s="7" t="inlineStr">
        <is>
          <t>출어일 값들의 중앙값</t>
        </is>
      </c>
      <c r="H114" s="6" t="inlineStr">
        <is>
          <t>L2→L3</t>
        </is>
      </c>
      <c r="I114" s="6" t="inlineStr">
        <is>
          <t>가설 B</t>
        </is>
      </c>
      <c r="J114" s="6" t="inlineStr"/>
      <c r="K114" s="6" t="inlineStr"/>
      <c r="L114" s="6" t="inlineStr">
        <is>
          <t>O</t>
        </is>
      </c>
      <c r="M114" s="6" t="inlineStr">
        <is>
          <t>O</t>
        </is>
      </c>
      <c r="N114" s="6" t="inlineStr"/>
      <c r="O114" s="12" t="n">
        <v>1</v>
      </c>
      <c r="P114" s="12" t="n">
        <v>0</v>
      </c>
      <c r="Q114" s="6" t="n">
        <v>80</v>
      </c>
      <c r="R114" s="6" t="n">
        <v>246</v>
      </c>
      <c r="S114" s="6" t="inlineStr"/>
    </row>
    <row r="115">
      <c r="A115" s="6" t="n">
        <v>114</v>
      </c>
      <c r="B115" s="6" t="inlineStr">
        <is>
          <t>day_rg_km_median</t>
        </is>
      </c>
      <c r="C115" s="6" t="inlineStr">
        <is>
          <t>이동량·공간범위</t>
        </is>
      </c>
      <c r="D115" s="6" t="inlineStr">
        <is>
          <t>활동 범위(하루)</t>
        </is>
      </c>
      <c r="E115" s="6" t="inlineStr">
        <is>
          <t>day_rg_km</t>
        </is>
      </c>
      <c r="F115" s="7" t="inlineStr">
        <is>
          <t>시간대 중심들의 퍼짐(km)</t>
        </is>
      </c>
      <c r="G115" s="7" t="inlineStr">
        <is>
          <t>출어일 값들의 중앙값</t>
        </is>
      </c>
      <c r="H115" s="6" t="inlineStr">
        <is>
          <t>L2→L3</t>
        </is>
      </c>
      <c r="I115" s="6" t="inlineStr">
        <is>
          <t>나연</t>
        </is>
      </c>
      <c r="J115" s="6" t="inlineStr"/>
      <c r="K115" s="6" t="inlineStr"/>
      <c r="L115" s="6" t="inlineStr">
        <is>
          <t>O</t>
        </is>
      </c>
      <c r="M115" s="6" t="inlineStr">
        <is>
          <t>O</t>
        </is>
      </c>
      <c r="N115" s="6" t="inlineStr"/>
      <c r="O115" s="12" t="n">
        <v>0.6</v>
      </c>
      <c r="P115" s="12" t="n">
        <v>0</v>
      </c>
      <c r="Q115" s="6" t="n">
        <v>234</v>
      </c>
      <c r="R115" s="6" t="n">
        <v>153</v>
      </c>
      <c r="S115" s="6" t="inlineStr">
        <is>
          <t>day_bbox_diag_km_mean</t>
        </is>
      </c>
    </row>
    <row r="116">
      <c r="A116" s="6" t="n">
        <v>115</v>
      </c>
      <c r="B116" s="6" t="inlineStr">
        <is>
          <t>day_bbox_diag_km_median</t>
        </is>
      </c>
      <c r="C116" s="6" t="inlineStr">
        <is>
          <t>이동량·공간범위</t>
        </is>
      </c>
      <c r="D116" s="6" t="inlineStr">
        <is>
          <t>활동 범위(하루)</t>
        </is>
      </c>
      <c r="E116" s="6" t="inlineStr">
        <is>
          <t>day_bbox_diag_km</t>
        </is>
      </c>
      <c r="F116" s="7" t="inlineStr">
        <is>
          <t>하루 활동범위 대각선(km)</t>
        </is>
      </c>
      <c r="G116" s="7" t="inlineStr">
        <is>
          <t>출어일 값들의 중앙값</t>
        </is>
      </c>
      <c r="H116" s="6" t="inlineStr">
        <is>
          <t>L2→L3</t>
        </is>
      </c>
      <c r="I116" s="6" t="inlineStr">
        <is>
          <t>나연</t>
        </is>
      </c>
      <c r="J116" s="6" t="inlineStr"/>
      <c r="K116" s="6" t="inlineStr"/>
      <c r="L116" s="6" t="inlineStr">
        <is>
          <t>O</t>
        </is>
      </c>
      <c r="M116" s="6" t="inlineStr">
        <is>
          <t>O</t>
        </is>
      </c>
      <c r="N116" s="6" t="inlineStr"/>
      <c r="O116" s="12" t="n">
        <v>0.2</v>
      </c>
      <c r="P116" s="12" t="n">
        <v>0</v>
      </c>
      <c r="Q116" s="6" t="n">
        <v>285</v>
      </c>
      <c r="R116" s="6" t="n">
        <v>264</v>
      </c>
      <c r="S116" s="6" t="inlineStr">
        <is>
          <t>day_bbox_diag_km_mean</t>
        </is>
      </c>
    </row>
    <row r="117">
      <c r="A117" s="6" t="n">
        <v>116</v>
      </c>
      <c r="B117" s="6" t="inlineStr">
        <is>
          <t>day_range_q95_km_median</t>
        </is>
      </c>
      <c r="C117" s="6" t="inlineStr">
        <is>
          <t>이동량·공간범위</t>
        </is>
      </c>
      <c r="D117" s="6" t="inlineStr">
        <is>
          <t>변위·이격</t>
        </is>
      </c>
      <c r="E117" s="6" t="inlineStr">
        <is>
          <t>day_range_q95_km</t>
        </is>
      </c>
      <c r="F117" s="7" t="inlineStr">
        <is>
          <t>첫 위치에서 95% 분위 이격(km, 지터 강건 day_range)</t>
        </is>
      </c>
      <c r="G117" s="7" t="inlineStr">
        <is>
          <t>출어일 값들의 중앙값</t>
        </is>
      </c>
      <c r="H117" s="6" t="inlineStr">
        <is>
          <t>L2→L3</t>
        </is>
      </c>
      <c r="I117" s="6" t="inlineStr">
        <is>
          <t>민성</t>
        </is>
      </c>
      <c r="J117" s="6" t="inlineStr"/>
      <c r="K117" s="6" t="inlineStr"/>
      <c r="L117" s="6" t="inlineStr">
        <is>
          <t>O</t>
        </is>
      </c>
      <c r="M117" s="6" t="inlineStr">
        <is>
          <t>O</t>
        </is>
      </c>
      <c r="N117" s="6" t="inlineStr"/>
      <c r="O117" s="12" t="n">
        <v>0</v>
      </c>
      <c r="P117" s="12" t="n">
        <v>0</v>
      </c>
      <c r="Q117" s="6" t="n">
        <v>327</v>
      </c>
      <c r="R117" s="6" t="n">
        <v>217</v>
      </c>
      <c r="S117" s="6" t="inlineStr">
        <is>
          <t>day_bbox_diag_km_mean</t>
        </is>
      </c>
    </row>
    <row r="118">
      <c r="A118" s="6" t="n">
        <v>117</v>
      </c>
      <c r="B118" s="6" t="inlineStr">
        <is>
          <t>home_km_max_median</t>
        </is>
      </c>
      <c r="C118" s="6" t="inlineStr">
        <is>
          <t>이동량·공간범위</t>
        </is>
      </c>
      <c r="D118" s="6" t="inlineStr">
        <is>
          <t>모항·항구 거리</t>
        </is>
      </c>
      <c r="E118" s="6" t="inlineStr">
        <is>
          <t>home_km_max</t>
        </is>
      </c>
      <c r="F118" s="7" t="inlineStr">
        <is>
          <t>모항에서 최대 거리(km)</t>
        </is>
      </c>
      <c r="G118" s="7" t="inlineStr">
        <is>
          <t>출어일 값들의 중앙값</t>
        </is>
      </c>
      <c r="H118" s="6" t="inlineStr">
        <is>
          <t>L2→L3</t>
        </is>
      </c>
      <c r="I118" s="6" t="inlineStr">
        <is>
          <t>민성·나연</t>
        </is>
      </c>
      <c r="J118" s="6" t="inlineStr"/>
      <c r="K118" s="6" t="inlineStr"/>
      <c r="L118" s="6" t="inlineStr">
        <is>
          <t>O</t>
        </is>
      </c>
      <c r="M118" s="6" t="inlineStr">
        <is>
          <t>O</t>
        </is>
      </c>
      <c r="N118" s="6" t="inlineStr"/>
      <c r="O118" s="12" t="n">
        <v>0.2</v>
      </c>
      <c r="P118" s="12" t="n">
        <v>0.2</v>
      </c>
      <c r="Q118" s="6" t="n">
        <v>275</v>
      </c>
      <c r="R118" s="6" t="n">
        <v>40</v>
      </c>
      <c r="S118" s="6" t="inlineStr">
        <is>
          <t>home_km_max_mean</t>
        </is>
      </c>
    </row>
    <row r="119">
      <c r="A119" s="6" t="n">
        <v>118</v>
      </c>
      <c r="B119" s="6" t="inlineStr">
        <is>
          <t>home_km_mean_median</t>
        </is>
      </c>
      <c r="C119" s="6" t="inlineStr">
        <is>
          <t>이동량·공간범위</t>
        </is>
      </c>
      <c r="D119" s="6" t="inlineStr">
        <is>
          <t>모항·항구 거리</t>
        </is>
      </c>
      <c r="E119" s="6" t="inlineStr">
        <is>
          <t>home_km_mean</t>
        </is>
      </c>
      <c r="F119" s="7" t="inlineStr">
        <is>
          <t>모항에서 평균 거리(km)</t>
        </is>
      </c>
      <c r="G119" s="7" t="inlineStr">
        <is>
          <t>출어일 값들의 중앙값</t>
        </is>
      </c>
      <c r="H119" s="6" t="inlineStr">
        <is>
          <t>L2→L3</t>
        </is>
      </c>
      <c r="I119" s="6" t="inlineStr">
        <is>
          <t>나연</t>
        </is>
      </c>
      <c r="J119" s="6" t="inlineStr"/>
      <c r="K119" s="6" t="inlineStr"/>
      <c r="L119" s="6" t="inlineStr">
        <is>
          <t>O</t>
        </is>
      </c>
      <c r="M119" s="6" t="inlineStr">
        <is>
          <t>O</t>
        </is>
      </c>
      <c r="N119" s="6" t="inlineStr"/>
      <c r="O119" s="12" t="n">
        <v>0.4</v>
      </c>
      <c r="P119" s="12" t="n">
        <v>0</v>
      </c>
      <c r="Q119" s="6" t="n">
        <v>257</v>
      </c>
      <c r="R119" s="6" t="n">
        <v>128</v>
      </c>
      <c r="S119" s="6" t="inlineStr">
        <is>
          <t>home_km_mean_mean</t>
        </is>
      </c>
    </row>
    <row r="120">
      <c r="A120" s="6" t="n">
        <v>119</v>
      </c>
      <c r="B120" s="6" t="inlineStr">
        <is>
          <t>in_port_ratio_median</t>
        </is>
      </c>
      <c r="C120" s="6" t="inlineStr">
        <is>
          <t>시간 사용·항차</t>
        </is>
      </c>
      <c r="D120" s="6" t="inlineStr">
        <is>
          <t>상태별 시간 비율</t>
        </is>
      </c>
      <c r="E120" s="6" t="inlineStr">
        <is>
          <t>in_port_ratio</t>
        </is>
      </c>
      <c r="F120" s="7" t="inlineStr">
        <is>
          <t>항구 정박 시간 비율</t>
        </is>
      </c>
      <c r="G120" s="7" t="inlineStr">
        <is>
          <t>출어일 값들의 중앙값</t>
        </is>
      </c>
      <c r="H120" s="6" t="inlineStr">
        <is>
          <t>L2→L3</t>
        </is>
      </c>
      <c r="I120" s="6" t="inlineStr">
        <is>
          <t>나연·민성</t>
        </is>
      </c>
      <c r="J120" s="6" t="inlineStr"/>
      <c r="K120" s="6" t="inlineStr"/>
      <c r="L120" s="6" t="inlineStr">
        <is>
          <t>O</t>
        </is>
      </c>
      <c r="M120" s="6" t="inlineStr">
        <is>
          <t>O</t>
        </is>
      </c>
      <c r="N120" s="6" t="inlineStr"/>
      <c r="O120" s="12" t="n">
        <v>0.8</v>
      </c>
      <c r="P120" s="12" t="n">
        <v>0</v>
      </c>
      <c r="Q120" s="6" t="n">
        <v>222</v>
      </c>
      <c r="R120" s="6" t="n">
        <v>273</v>
      </c>
      <c r="S120" s="6" t="inlineStr"/>
    </row>
    <row r="121">
      <c r="A121" s="6" t="n">
        <v>120</v>
      </c>
      <c r="B121" s="6" t="inlineStr">
        <is>
          <t>sea_stop_share_median</t>
        </is>
      </c>
      <c r="C121" s="6" t="inlineStr">
        <is>
          <t>시간 사용·항차</t>
        </is>
      </c>
      <c r="D121" s="6" t="inlineStr">
        <is>
          <t>상태별 시간 비율</t>
        </is>
      </c>
      <c r="E121" s="6" t="inlineStr">
        <is>
          <t>sea_stop_share</t>
        </is>
      </c>
      <c r="F121" s="7" t="inlineStr">
        <is>
          <t>해상 정지 시간 비율</t>
        </is>
      </c>
      <c r="G121" s="7" t="inlineStr">
        <is>
          <t>출어일 값들의 중앙값</t>
        </is>
      </c>
      <c r="H121" s="6" t="inlineStr">
        <is>
          <t>L2→L3</t>
        </is>
      </c>
      <c r="I121" s="6" t="inlineStr">
        <is>
          <t>민성</t>
        </is>
      </c>
      <c r="J121" s="6" t="inlineStr"/>
      <c r="K121" s="6" t="inlineStr"/>
      <c r="L121" s="6" t="inlineStr">
        <is>
          <t>O</t>
        </is>
      </c>
      <c r="M121" s="6" t="inlineStr">
        <is>
          <t>O</t>
        </is>
      </c>
      <c r="N121" s="6" t="inlineStr"/>
      <c r="O121" s="12" t="n">
        <v>1</v>
      </c>
      <c r="P121" s="12" t="n">
        <v>0</v>
      </c>
      <c r="Q121" s="6" t="n">
        <v>101</v>
      </c>
      <c r="R121" s="6" t="n">
        <v>292</v>
      </c>
      <c r="S121" s="6" t="inlineStr"/>
    </row>
    <row r="122">
      <c r="A122" s="6" t="n">
        <v>121</v>
      </c>
      <c r="B122" s="6" t="inlineStr">
        <is>
          <t>drift_share_median</t>
        </is>
      </c>
      <c r="C122" s="6" t="inlineStr">
        <is>
          <t>시간 사용·항차</t>
        </is>
      </c>
      <c r="D122" s="6" t="inlineStr">
        <is>
          <t>상태별 시간 비율</t>
        </is>
      </c>
      <c r="E122" s="6" t="inlineStr">
        <is>
          <t>drift_share</t>
        </is>
      </c>
      <c r="F122" s="7" t="inlineStr">
        <is>
          <t>표류(0.3~2kn) 시간 비율 (전체 기간)</t>
        </is>
      </c>
      <c r="G122" s="7" t="inlineStr">
        <is>
          <t>출어일 값들의 중앙값</t>
        </is>
      </c>
      <c r="H122" s="6" t="inlineStr">
        <is>
          <t>L2→L3</t>
        </is>
      </c>
      <c r="I122" s="6" t="inlineStr">
        <is>
          <t>민성</t>
        </is>
      </c>
      <c r="J122" s="6" t="inlineStr"/>
      <c r="K122" s="6" t="inlineStr">
        <is>
          <t>가설 관련</t>
        </is>
      </c>
      <c r="L122" s="6" t="inlineStr">
        <is>
          <t>O</t>
        </is>
      </c>
      <c r="M122" s="6" t="inlineStr">
        <is>
          <t>O</t>
        </is>
      </c>
      <c r="N122" s="6" t="inlineStr"/>
      <c r="O122" s="12" t="n">
        <v>1</v>
      </c>
      <c r="P122" s="12" t="n">
        <v>0</v>
      </c>
      <c r="Q122" s="6" t="n">
        <v>94</v>
      </c>
      <c r="R122" s="6" t="n">
        <v>106</v>
      </c>
      <c r="S122" s="6" t="inlineStr"/>
    </row>
    <row r="123">
      <c r="A123" s="6" t="n">
        <v>122</v>
      </c>
      <c r="B123" s="6" t="inlineStr">
        <is>
          <t>fish_share_median</t>
        </is>
      </c>
      <c r="C123" s="6" t="inlineStr">
        <is>
          <t>시간 사용·항차</t>
        </is>
      </c>
      <c r="D123" s="6" t="inlineStr">
        <is>
          <t>상태별 시간 비율</t>
        </is>
      </c>
      <c r="E123" s="6" t="inlineStr">
        <is>
          <t>fish_share</t>
        </is>
      </c>
      <c r="F123" s="7" t="inlineStr">
        <is>
          <t>조업속도(2~5kn) 시간 비율</t>
        </is>
      </c>
      <c r="G123" s="7" t="inlineStr">
        <is>
          <t>출어일 값들의 중앙값</t>
        </is>
      </c>
      <c r="H123" s="6" t="inlineStr">
        <is>
          <t>L2→L3</t>
        </is>
      </c>
      <c r="I123" s="6" t="inlineStr">
        <is>
          <t>민성</t>
        </is>
      </c>
      <c r="J123" s="6" t="inlineStr"/>
      <c r="K123" s="6" t="inlineStr"/>
      <c r="L123" s="6" t="inlineStr">
        <is>
          <t>O</t>
        </is>
      </c>
      <c r="M123" s="6" t="inlineStr">
        <is>
          <t>O</t>
        </is>
      </c>
      <c r="N123" s="6" t="inlineStr"/>
      <c r="O123" s="12" t="n">
        <v>1</v>
      </c>
      <c r="P123" s="12" t="n">
        <v>0</v>
      </c>
      <c r="Q123" s="6" t="n">
        <v>167</v>
      </c>
      <c r="R123" s="6" t="n">
        <v>306</v>
      </c>
      <c r="S123" s="6" t="inlineStr"/>
    </row>
    <row r="124">
      <c r="A124" s="6" t="n">
        <v>123</v>
      </c>
      <c r="B124" s="6" t="inlineStr">
        <is>
          <t>transit_share_median</t>
        </is>
      </c>
      <c r="C124" s="6" t="inlineStr">
        <is>
          <t>시간 사용·항차</t>
        </is>
      </c>
      <c r="D124" s="6" t="inlineStr">
        <is>
          <t>상태별 시간 비율</t>
        </is>
      </c>
      <c r="E124" s="6" t="inlineStr">
        <is>
          <t>transit_share</t>
        </is>
      </c>
      <c r="F124" s="7" t="inlineStr">
        <is>
          <t>항해(&gt;5kn, 직선) 시간 비율 (전체 기간)</t>
        </is>
      </c>
      <c r="G124" s="7" t="inlineStr">
        <is>
          <t>출어일 값들의 중앙값</t>
        </is>
      </c>
      <c r="H124" s="6" t="inlineStr">
        <is>
          <t>L2→L3</t>
        </is>
      </c>
      <c r="I124" s="6" t="inlineStr">
        <is>
          <t>민성</t>
        </is>
      </c>
      <c r="J124" s="6" t="inlineStr"/>
      <c r="K124" s="6" t="inlineStr"/>
      <c r="L124" s="6" t="inlineStr">
        <is>
          <t>O</t>
        </is>
      </c>
      <c r="M124" s="6" t="inlineStr">
        <is>
          <t>O</t>
        </is>
      </c>
      <c r="N124" s="6" t="inlineStr"/>
      <c r="O124" s="12" t="n">
        <v>1</v>
      </c>
      <c r="P124" s="12" t="n">
        <v>0</v>
      </c>
      <c r="Q124" s="6" t="n">
        <v>190</v>
      </c>
      <c r="R124" s="6" t="n">
        <v>324</v>
      </c>
      <c r="S124" s="6" t="inlineStr"/>
    </row>
    <row r="125">
      <c r="A125" s="6" t="n">
        <v>124</v>
      </c>
      <c r="B125" s="6" t="inlineStr">
        <is>
          <t>n_transitions_median</t>
        </is>
      </c>
      <c r="C125" s="6" t="inlineStr">
        <is>
          <t>시간 사용·항차</t>
        </is>
      </c>
      <c r="D125" s="6" t="inlineStr">
        <is>
          <t>상태 전환</t>
        </is>
      </c>
      <c r="E125" s="6" t="inlineStr">
        <is>
          <t>n_transitions</t>
        </is>
      </c>
      <c r="F125" s="7" t="inlineStr">
        <is>
          <t>시간대 상태 전환 횟수</t>
        </is>
      </c>
      <c r="G125" s="7" t="inlineStr">
        <is>
          <t>출어일 값들의 중앙값</t>
        </is>
      </c>
      <c r="H125" s="6" t="inlineStr">
        <is>
          <t>L2→L3</t>
        </is>
      </c>
      <c r="I125" s="6" t="inlineStr">
        <is>
          <t>민성</t>
        </is>
      </c>
      <c r="J125" s="6" t="inlineStr"/>
      <c r="K125" s="6" t="inlineStr"/>
      <c r="L125" s="6" t="inlineStr">
        <is>
          <t>O</t>
        </is>
      </c>
      <c r="M125" s="6" t="inlineStr">
        <is>
          <t>O</t>
        </is>
      </c>
      <c r="N125" s="6" t="inlineStr"/>
      <c r="O125" s="12" t="n">
        <v>0</v>
      </c>
      <c r="P125" s="12" t="n">
        <v>0</v>
      </c>
      <c r="Q125" s="6" t="n">
        <v>334</v>
      </c>
      <c r="R125" s="6" t="n">
        <v>330</v>
      </c>
      <c r="S125" s="6" t="inlineStr">
        <is>
          <t>transitions_per_day</t>
        </is>
      </c>
    </row>
    <row r="126">
      <c r="A126" s="6" t="n">
        <v>125</v>
      </c>
      <c r="B126" s="6" t="inlineStr">
        <is>
          <t>departures_median</t>
        </is>
      </c>
      <c r="C126" s="6" t="inlineStr">
        <is>
          <t>시간 사용·항차</t>
        </is>
      </c>
      <c r="D126" s="6" t="inlineStr">
        <is>
          <t>항차(출항~귀항)</t>
        </is>
      </c>
      <c r="E126" s="6" t="inlineStr">
        <is>
          <t>departures</t>
        </is>
      </c>
      <c r="F126" s="7" t="inlineStr">
        <is>
          <t>출항 횟수 (항구→비항구)</t>
        </is>
      </c>
      <c r="G126" s="7" t="inlineStr">
        <is>
          <t>출어일 값들의 중앙값</t>
        </is>
      </c>
      <c r="H126" s="6" t="inlineStr">
        <is>
          <t>L2→L3</t>
        </is>
      </c>
      <c r="I126" s="6" t="inlineStr">
        <is>
          <t>민성</t>
        </is>
      </c>
      <c r="J126" s="6" t="inlineStr"/>
      <c r="K126" s="6" t="inlineStr"/>
      <c r="L126" s="6" t="inlineStr">
        <is>
          <t>O</t>
        </is>
      </c>
      <c r="M126" s="6" t="inlineStr">
        <is>
          <t>O</t>
        </is>
      </c>
      <c r="N126" s="6" t="inlineStr"/>
      <c r="O126" s="12" t="n">
        <v>0.6</v>
      </c>
      <c r="P126" s="12" t="n">
        <v>0</v>
      </c>
      <c r="Q126" s="6" t="n">
        <v>249</v>
      </c>
      <c r="R126" s="6" t="n">
        <v>346</v>
      </c>
      <c r="S126" s="6" t="inlineStr"/>
    </row>
    <row r="127">
      <c r="A127" s="6" t="n">
        <v>126</v>
      </c>
      <c r="B127" s="6" t="inlineStr">
        <is>
          <t>longest_streak_median</t>
        </is>
      </c>
      <c r="C127" s="6" t="inlineStr">
        <is>
          <t>하루 리듬·시각(E)</t>
        </is>
      </c>
      <c r="D127" s="6" t="inlineStr">
        <is>
          <t>이동 블록 구조</t>
        </is>
      </c>
      <c r="E127" s="6" t="inlineStr">
        <is>
          <t>longest_streak</t>
        </is>
      </c>
      <c r="F127" s="7" t="inlineStr">
        <is>
          <t>최장 연속 이동 시간 수</t>
        </is>
      </c>
      <c r="G127" s="7" t="inlineStr">
        <is>
          <t>출어일 값들의 중앙값</t>
        </is>
      </c>
      <c r="H127" s="6" t="inlineStr">
        <is>
          <t>L2→L3</t>
        </is>
      </c>
      <c r="I127" s="6" t="inlineStr">
        <is>
          <t>민성·가설 E</t>
        </is>
      </c>
      <c r="J127" s="6" t="inlineStr"/>
      <c r="K127" s="6" t="inlineStr">
        <is>
          <t>가설 E(하루 리듬)</t>
        </is>
      </c>
      <c r="L127" s="6" t="inlineStr">
        <is>
          <t>O</t>
        </is>
      </c>
      <c r="M127" s="6" t="inlineStr">
        <is>
          <t>O</t>
        </is>
      </c>
      <c r="N127" s="6" t="inlineStr"/>
      <c r="O127" s="12" t="n">
        <v>1</v>
      </c>
      <c r="P127" s="12" t="n">
        <v>0</v>
      </c>
      <c r="Q127" s="6" t="n">
        <v>133</v>
      </c>
      <c r="R127" s="6" t="n">
        <v>225</v>
      </c>
      <c r="S127" s="6" t="inlineStr"/>
    </row>
    <row r="128">
      <c r="A128" s="6" t="n">
        <v>127</v>
      </c>
      <c r="B128" s="6" t="inlineStr">
        <is>
          <t>active_block_count_median</t>
        </is>
      </c>
      <c r="C128" s="6" t="inlineStr">
        <is>
          <t>하루 리듬·시각(E)</t>
        </is>
      </c>
      <c r="D128" s="6" t="inlineStr">
        <is>
          <t>이동 블록 구조</t>
        </is>
      </c>
      <c r="E128" s="6" t="inlineStr">
        <is>
          <t>active_block_count</t>
        </is>
      </c>
      <c r="F128" s="7" t="inlineStr">
        <is>
          <t>이동 블록 수 (투망·양망 블록)</t>
        </is>
      </c>
      <c r="G128" s="7" t="inlineStr">
        <is>
          <t>출어일 값들의 중앙값</t>
        </is>
      </c>
      <c r="H128" s="6" t="inlineStr">
        <is>
          <t>L2→L3</t>
        </is>
      </c>
      <c r="I128" s="6" t="inlineStr">
        <is>
          <t>가설 E</t>
        </is>
      </c>
      <c r="J128" s="6" t="inlineStr"/>
      <c r="K128" s="6" t="inlineStr">
        <is>
          <t>가설 E(하루 리듬)</t>
        </is>
      </c>
      <c r="L128" s="6" t="inlineStr">
        <is>
          <t>O</t>
        </is>
      </c>
      <c r="M128" s="6" t="inlineStr">
        <is>
          <t>O</t>
        </is>
      </c>
      <c r="N128" s="6" t="inlineStr"/>
      <c r="O128" s="12" t="n">
        <v>0.6</v>
      </c>
      <c r="P128" s="12" t="n">
        <v>0</v>
      </c>
      <c r="Q128" s="6" t="n">
        <v>248</v>
      </c>
      <c r="R128" s="6" t="n">
        <v>339</v>
      </c>
      <c r="S128" s="6" t="inlineStr"/>
    </row>
    <row r="129">
      <c r="A129" s="6" t="n">
        <v>128</v>
      </c>
      <c r="B129" s="6" t="inlineStr">
        <is>
          <t>max_block_gap_h_median</t>
        </is>
      </c>
      <c r="C129" s="6" t="inlineStr">
        <is>
          <t>하루 리듬·시각(E)</t>
        </is>
      </c>
      <c r="D129" s="6" t="inlineStr">
        <is>
          <t>이동 블록 구조</t>
        </is>
      </c>
      <c r="E129" s="6" t="inlineStr">
        <is>
          <t>max_block_gap_h</t>
        </is>
      </c>
      <c r="F129" s="7" t="inlineStr">
        <is>
          <t>이동 블록 사이 최대 휴식(시간)</t>
        </is>
      </c>
      <c r="G129" s="7" t="inlineStr">
        <is>
          <t>출어일 값들의 중앙값</t>
        </is>
      </c>
      <c r="H129" s="6" t="inlineStr">
        <is>
          <t>L2→L3</t>
        </is>
      </c>
      <c r="I129" s="6" t="inlineStr">
        <is>
          <t>가설 E</t>
        </is>
      </c>
      <c r="J129" s="6" t="inlineStr"/>
      <c r="K129" s="6" t="inlineStr">
        <is>
          <t>가설 E(하루 리듬)</t>
        </is>
      </c>
      <c r="L129" s="6" t="inlineStr">
        <is>
          <t>O</t>
        </is>
      </c>
      <c r="M129" s="6" t="inlineStr">
        <is>
          <t>O</t>
        </is>
      </c>
      <c r="N129" s="6" t="inlineStr"/>
      <c r="O129" s="12" t="n">
        <v>1</v>
      </c>
      <c r="P129" s="12" t="n">
        <v>0</v>
      </c>
      <c r="Q129" s="6" t="n">
        <v>70</v>
      </c>
      <c r="R129" s="6" t="n">
        <v>125</v>
      </c>
      <c r="S129" s="6" t="inlineStr"/>
    </row>
    <row r="130">
      <c r="A130" s="6" t="n">
        <v>129</v>
      </c>
      <c r="B130" s="6" t="inlineStr">
        <is>
          <t>mv_first_hour_median</t>
        </is>
      </c>
      <c r="C130" s="6" t="inlineStr">
        <is>
          <t>하루 리듬·시각(E)</t>
        </is>
      </c>
      <c r="D130" s="6" t="inlineStr">
        <is>
          <t>시작·종료 시각</t>
        </is>
      </c>
      <c r="E130" s="6" t="inlineStr">
        <is>
          <t>mv_first_hour</t>
        </is>
      </c>
      <c r="F130" s="7" t="inlineStr">
        <is>
          <t>조업(이동) 시작 시각</t>
        </is>
      </c>
      <c r="G130" s="7" t="inlineStr">
        <is>
          <t>출어일 값들의 중앙값</t>
        </is>
      </c>
      <c r="H130" s="6" t="inlineStr">
        <is>
          <t>L2→L3</t>
        </is>
      </c>
      <c r="I130" s="6" t="inlineStr">
        <is>
          <t>나연</t>
        </is>
      </c>
      <c r="J130" s="6" t="inlineStr"/>
      <c r="K130" s="6" t="inlineStr"/>
      <c r="L130" s="6" t="inlineStr">
        <is>
          <t>O</t>
        </is>
      </c>
      <c r="M130" s="6" t="inlineStr">
        <is>
          <t>O</t>
        </is>
      </c>
      <c r="N130" s="6" t="inlineStr"/>
      <c r="O130" s="12" t="n">
        <v>0.6</v>
      </c>
      <c r="P130" s="12" t="n">
        <v>0</v>
      </c>
      <c r="Q130" s="6" t="n">
        <v>231</v>
      </c>
      <c r="R130" s="6" t="n">
        <v>243</v>
      </c>
      <c r="S130" s="6" t="inlineStr">
        <is>
          <t>mv_first_hour_mean</t>
        </is>
      </c>
    </row>
    <row r="131">
      <c r="A131" s="6" t="n">
        <v>130</v>
      </c>
      <c r="B131" s="6" t="inlineStr">
        <is>
          <t>mv_last_hour_median</t>
        </is>
      </c>
      <c r="C131" s="6" t="inlineStr">
        <is>
          <t>하루 리듬·시각(E)</t>
        </is>
      </c>
      <c r="D131" s="6" t="inlineStr">
        <is>
          <t>시작·종료 시각</t>
        </is>
      </c>
      <c r="E131" s="6" t="inlineStr">
        <is>
          <t>mv_last_hour</t>
        </is>
      </c>
      <c r="F131" s="7" t="inlineStr">
        <is>
          <t>조업(이동) 종료 시각</t>
        </is>
      </c>
      <c r="G131" s="7" t="inlineStr">
        <is>
          <t>출어일 값들의 중앙값</t>
        </is>
      </c>
      <c r="H131" s="6" t="inlineStr">
        <is>
          <t>L2→L3</t>
        </is>
      </c>
      <c r="I131" s="6" t="inlineStr">
        <is>
          <t>나연</t>
        </is>
      </c>
      <c r="J131" s="6" t="inlineStr"/>
      <c r="K131" s="6" t="inlineStr"/>
      <c r="L131" s="6" t="inlineStr">
        <is>
          <t>O</t>
        </is>
      </c>
      <c r="M131" s="6" t="inlineStr">
        <is>
          <t>O</t>
        </is>
      </c>
      <c r="N131" s="6" t="inlineStr"/>
      <c r="O131" s="12" t="n">
        <v>0</v>
      </c>
      <c r="P131" s="12" t="n">
        <v>0</v>
      </c>
      <c r="Q131" s="6" t="n">
        <v>318</v>
      </c>
      <c r="R131" s="6" t="n">
        <v>197</v>
      </c>
      <c r="S131" s="6" t="inlineStr">
        <is>
          <t>mv_last_hour_mean</t>
        </is>
      </c>
    </row>
    <row r="132">
      <c r="A132" s="6" t="n">
        <v>131</v>
      </c>
      <c r="B132" s="6" t="inlineStr">
        <is>
          <t>mv_span_h_median</t>
        </is>
      </c>
      <c r="C132" s="6" t="inlineStr">
        <is>
          <t>하루 리듬·시각(E)</t>
        </is>
      </c>
      <c r="D132" s="6" t="inlineStr">
        <is>
          <t>조업 시간 폭</t>
        </is>
      </c>
      <c r="E132" s="6" t="inlineStr">
        <is>
          <t>mv_span_h</t>
        </is>
      </c>
      <c r="F132" s="7" t="inlineStr">
        <is>
          <t>조업 시간 폭 (첫~마지막 이동)</t>
        </is>
      </c>
      <c r="G132" s="7" t="inlineStr">
        <is>
          <t>출어일 값들의 중앙값</t>
        </is>
      </c>
      <c r="H132" s="6" t="inlineStr">
        <is>
          <t>L2→L3</t>
        </is>
      </c>
      <c r="I132" s="6" t="inlineStr">
        <is>
          <t>나연·민성</t>
        </is>
      </c>
      <c r="J132" s="6" t="inlineStr"/>
      <c r="K132" s="6" t="inlineStr"/>
      <c r="L132" s="6" t="inlineStr">
        <is>
          <t>O</t>
        </is>
      </c>
      <c r="M132" s="6" t="inlineStr">
        <is>
          <t>O</t>
        </is>
      </c>
      <c r="N132" s="6" t="inlineStr"/>
      <c r="O132" s="12" t="n">
        <v>1</v>
      </c>
      <c r="P132" s="12" t="n">
        <v>0</v>
      </c>
      <c r="Q132" s="6" t="n">
        <v>145</v>
      </c>
      <c r="R132" s="6" t="n">
        <v>209</v>
      </c>
      <c r="S132" s="6" t="inlineStr">
        <is>
          <t>trip_hours_q50</t>
        </is>
      </c>
    </row>
    <row r="133">
      <c r="A133" s="6" t="n">
        <v>132</v>
      </c>
      <c r="B133" s="6" t="inlineStr">
        <is>
          <t>mv_share_dawn_median</t>
        </is>
      </c>
      <c r="C133" s="6" t="inlineStr">
        <is>
          <t>하루 리듬·시각(E)</t>
        </is>
      </c>
      <c r="D133" s="6" t="inlineStr">
        <is>
          <t>시간대 비중</t>
        </is>
      </c>
      <c r="E133" s="6" t="inlineStr">
        <is>
          <t>mv_share_dawn</t>
        </is>
      </c>
      <c r="F133" s="7" t="inlineStr">
        <is>
          <t>이동 시간 중 새벽(0~5시) 비중</t>
        </is>
      </c>
      <c r="G133" s="7" t="inlineStr">
        <is>
          <t>출어일 값들의 중앙값</t>
        </is>
      </c>
      <c r="H133" s="6" t="inlineStr">
        <is>
          <t>L2→L3</t>
        </is>
      </c>
      <c r="I133" s="6" t="inlineStr">
        <is>
          <t>나연</t>
        </is>
      </c>
      <c r="J133" s="6" t="inlineStr"/>
      <c r="K133" s="6" t="inlineStr"/>
      <c r="L133" s="6" t="inlineStr">
        <is>
          <t>O</t>
        </is>
      </c>
      <c r="M133" s="6" t="inlineStr">
        <is>
          <t>O</t>
        </is>
      </c>
      <c r="N133" s="6" t="inlineStr"/>
      <c r="O133" s="12" t="n">
        <v>1</v>
      </c>
      <c r="P133" s="12" t="n">
        <v>0</v>
      </c>
      <c r="Q133" s="6" t="n">
        <v>176</v>
      </c>
      <c r="R133" s="6" t="n">
        <v>300</v>
      </c>
      <c r="S133" s="6" t="inlineStr"/>
    </row>
    <row r="134">
      <c r="A134" s="6" t="n">
        <v>133</v>
      </c>
      <c r="B134" s="6" t="inlineStr">
        <is>
          <t>mv_share_morning_median</t>
        </is>
      </c>
      <c r="C134" s="6" t="inlineStr">
        <is>
          <t>하루 리듬·시각(E)</t>
        </is>
      </c>
      <c r="D134" s="6" t="inlineStr">
        <is>
          <t>시간대 비중</t>
        </is>
      </c>
      <c r="E134" s="6" t="inlineStr">
        <is>
          <t>mv_share_morning</t>
        </is>
      </c>
      <c r="F134" s="7" t="inlineStr">
        <is>
          <t>이동 시간 중 오전(6~11시) 비중</t>
        </is>
      </c>
      <c r="G134" s="7" t="inlineStr">
        <is>
          <t>출어일 값들의 중앙값</t>
        </is>
      </c>
      <c r="H134" s="6" t="inlineStr">
        <is>
          <t>L2→L3</t>
        </is>
      </c>
      <c r="I134" s="6" t="inlineStr">
        <is>
          <t>나연</t>
        </is>
      </c>
      <c r="J134" s="6" t="inlineStr"/>
      <c r="K134" s="6" t="inlineStr"/>
      <c r="L134" s="6" t="inlineStr">
        <is>
          <t>O</t>
        </is>
      </c>
      <c r="M134" s="6" t="inlineStr">
        <is>
          <t>O</t>
        </is>
      </c>
      <c r="N134" s="6" t="inlineStr"/>
      <c r="O134" s="12" t="n">
        <v>1</v>
      </c>
      <c r="P134" s="12" t="n">
        <v>0.4</v>
      </c>
      <c r="Q134" s="6" t="n">
        <v>56</v>
      </c>
      <c r="R134" s="6" t="n">
        <v>33</v>
      </c>
      <c r="S134" s="6" t="inlineStr"/>
    </row>
    <row r="135">
      <c r="A135" s="6" t="n">
        <v>134</v>
      </c>
      <c r="B135" s="6" t="inlineStr">
        <is>
          <t>mv_share_afternoon_median</t>
        </is>
      </c>
      <c r="C135" s="6" t="inlineStr">
        <is>
          <t>하루 리듬·시각(E)</t>
        </is>
      </c>
      <c r="D135" s="6" t="inlineStr">
        <is>
          <t>시간대 비중</t>
        </is>
      </c>
      <c r="E135" s="6" t="inlineStr">
        <is>
          <t>mv_share_afternoon</t>
        </is>
      </c>
      <c r="F135" s="7" t="inlineStr">
        <is>
          <t>이동 시간 중 오후(12~17시) 비중</t>
        </is>
      </c>
      <c r="G135" s="7" t="inlineStr">
        <is>
          <t>출어일 값들의 중앙값</t>
        </is>
      </c>
      <c r="H135" s="6" t="inlineStr">
        <is>
          <t>L2→L3</t>
        </is>
      </c>
      <c r="I135" s="6" t="inlineStr">
        <is>
          <t>나연</t>
        </is>
      </c>
      <c r="J135" s="6" t="inlineStr"/>
      <c r="K135" s="6" t="inlineStr"/>
      <c r="L135" s="6" t="inlineStr">
        <is>
          <t>O</t>
        </is>
      </c>
      <c r="M135" s="6" t="inlineStr">
        <is>
          <t>O</t>
        </is>
      </c>
      <c r="N135" s="6" t="inlineStr"/>
      <c r="O135" s="12" t="n">
        <v>1</v>
      </c>
      <c r="P135" s="12" t="n">
        <v>0</v>
      </c>
      <c r="Q135" s="6" t="n">
        <v>136</v>
      </c>
      <c r="R135" s="6" t="n">
        <v>239</v>
      </c>
      <c r="S135" s="6" t="inlineStr"/>
    </row>
    <row r="136">
      <c r="A136" s="6" t="n">
        <v>135</v>
      </c>
      <c r="B136" s="6" t="inlineStr">
        <is>
          <t>mv_share_night_median</t>
        </is>
      </c>
      <c r="C136" s="6" t="inlineStr">
        <is>
          <t>하루 리듬·시각(E)</t>
        </is>
      </c>
      <c r="D136" s="6" t="inlineStr">
        <is>
          <t>시간대 비중</t>
        </is>
      </c>
      <c r="E136" s="6" t="inlineStr">
        <is>
          <t>mv_share_night</t>
        </is>
      </c>
      <c r="F136" s="7" t="inlineStr">
        <is>
          <t>이동 시간 중 밤(18~23시) 비중</t>
        </is>
      </c>
      <c r="G136" s="7" t="inlineStr">
        <is>
          <t>출어일 값들의 중앙값</t>
        </is>
      </c>
      <c r="H136" s="6" t="inlineStr">
        <is>
          <t>L2→L3</t>
        </is>
      </c>
      <c r="I136" s="6" t="inlineStr">
        <is>
          <t>나연</t>
        </is>
      </c>
      <c r="J136" s="6" t="inlineStr"/>
      <c r="K136" s="6" t="inlineStr"/>
      <c r="L136" s="6" t="inlineStr">
        <is>
          <t>O</t>
        </is>
      </c>
      <c r="M136" s="6" t="inlineStr">
        <is>
          <t>O</t>
        </is>
      </c>
      <c r="N136" s="6" t="inlineStr"/>
      <c r="O136" s="12" t="n">
        <v>1</v>
      </c>
      <c r="P136" s="12" t="n">
        <v>0</v>
      </c>
      <c r="Q136" s="6" t="n">
        <v>162</v>
      </c>
      <c r="R136" s="6" t="n">
        <v>237</v>
      </c>
      <c r="S136" s="6" t="inlineStr"/>
    </row>
    <row r="137">
      <c r="A137" s="6" t="n">
        <v>136</v>
      </c>
      <c r="B137" s="6" t="inlineStr">
        <is>
          <t>night_ratio_median</t>
        </is>
      </c>
      <c r="C137" s="6" t="inlineStr">
        <is>
          <t>하루 리듬·시각(E)</t>
        </is>
      </c>
      <c r="D137" s="6" t="inlineStr">
        <is>
          <t>시간대 비중</t>
        </is>
      </c>
      <c r="E137" s="6" t="inlineStr">
        <is>
          <t>night_ratio</t>
        </is>
      </c>
      <c r="F137" s="7" t="inlineStr">
        <is>
          <t>이동 중 야간(18~06시) 비율</t>
        </is>
      </c>
      <c r="G137" s="7" t="inlineStr">
        <is>
          <t>출어일 값들의 중앙값</t>
        </is>
      </c>
      <c r="H137" s="6" t="inlineStr">
        <is>
          <t>L2→L3</t>
        </is>
      </c>
      <c r="I137" s="6" t="inlineStr">
        <is>
          <t>민성·지유</t>
        </is>
      </c>
      <c r="J137" s="6" t="inlineStr"/>
      <c r="K137" s="6" t="inlineStr"/>
      <c r="L137" s="6" t="inlineStr">
        <is>
          <t>O</t>
        </is>
      </c>
      <c r="M137" s="6" t="inlineStr">
        <is>
          <t>O</t>
        </is>
      </c>
      <c r="N137" s="6" t="inlineStr"/>
      <c r="O137" s="12" t="n">
        <v>1</v>
      </c>
      <c r="P137" s="12" t="n">
        <v>0</v>
      </c>
      <c r="Q137" s="6" t="n">
        <v>143</v>
      </c>
      <c r="R137" s="6" t="n">
        <v>270</v>
      </c>
      <c r="S137" s="6" t="inlineStr"/>
    </row>
    <row r="138">
      <c r="A138" s="13" t="n">
        <v>137</v>
      </c>
      <c r="B138" s="13" t="inlineStr">
        <is>
          <t>inter_hour_jump_med_km_median</t>
        </is>
      </c>
      <c r="C138" s="13" t="inlineStr">
        <is>
          <t>속도 구조(C)</t>
        </is>
      </c>
      <c r="D138" s="13" t="inlineStr">
        <is>
          <t>시간대 간 점프</t>
        </is>
      </c>
      <c r="E138" s="13" t="inlineStr">
        <is>
          <t>inter_hour_jump_med_km</t>
        </is>
      </c>
      <c r="F138" s="14" t="inlineStr">
        <is>
          <t>연속 시간대 끝→다음 시작 거리 중앙값(km)</t>
        </is>
      </c>
      <c r="G138" s="14" t="inlineStr">
        <is>
          <t>출어일 값들의 중앙값</t>
        </is>
      </c>
      <c r="H138" s="13" t="inlineStr">
        <is>
          <t>L2→L3</t>
        </is>
      </c>
      <c r="I138" s="13" t="inlineStr">
        <is>
          <t>민성</t>
        </is>
      </c>
      <c r="J138" s="13" t="inlineStr"/>
      <c r="K138" s="13" t="inlineStr"/>
      <c r="L138" s="13" t="inlineStr">
        <is>
          <t>O</t>
        </is>
      </c>
      <c r="M138" s="13" t="inlineStr">
        <is>
          <t>O</t>
        </is>
      </c>
      <c r="N138" s="13" t="inlineStr">
        <is>
          <t>O</t>
        </is>
      </c>
      <c r="O138" s="15" t="n">
        <v>1</v>
      </c>
      <c r="P138" s="15" t="n">
        <v>0.6</v>
      </c>
      <c r="Q138" s="13" t="n">
        <v>51</v>
      </c>
      <c r="R138" s="13" t="n">
        <v>20</v>
      </c>
      <c r="S138" s="13" t="inlineStr"/>
    </row>
    <row r="139">
      <c r="A139" s="6" t="n">
        <v>138</v>
      </c>
      <c r="B139" s="6" t="inlineStr">
        <is>
          <t>return_after_absence_median</t>
        </is>
      </c>
      <c r="C139" s="6" t="inlineStr">
        <is>
          <t>재방문·어장반복(A)</t>
        </is>
      </c>
      <c r="D139" s="6" t="inlineStr">
        <is>
          <t>하루 내 재방문</t>
        </is>
      </c>
      <c r="E139" s="6" t="inlineStr">
        <is>
          <t>return_after_absence</t>
        </is>
      </c>
      <c r="F139" s="7" t="inlineStr">
        <is>
          <t>200m 격자를 2시간 이상 떠났다 돌아온 횟수</t>
        </is>
      </c>
      <c r="G139" s="7" t="inlineStr">
        <is>
          <t>출어일 값들의 중앙값</t>
        </is>
      </c>
      <c r="H139" s="6" t="inlineStr">
        <is>
          <t>L2→L3</t>
        </is>
      </c>
      <c r="I139" s="6" t="inlineStr">
        <is>
          <t>가설 A</t>
        </is>
      </c>
      <c r="J139" s="6" t="inlineStr"/>
      <c r="K139" s="6" t="inlineStr">
        <is>
          <t>가설 A(재방문)</t>
        </is>
      </c>
      <c r="L139" s="6" t="inlineStr">
        <is>
          <t>O</t>
        </is>
      </c>
      <c r="M139" s="6" t="inlineStr">
        <is>
          <t>O</t>
        </is>
      </c>
      <c r="N139" s="6" t="inlineStr"/>
      <c r="O139" s="12" t="n">
        <v>0.6</v>
      </c>
      <c r="P139" s="12" t="n">
        <v>0</v>
      </c>
      <c r="Q139" s="6" t="n">
        <v>250</v>
      </c>
      <c r="R139" s="6" t="n">
        <v>344</v>
      </c>
      <c r="S139" s="6" t="inlineStr"/>
    </row>
    <row r="140">
      <c r="A140" s="6" t="n">
        <v>139</v>
      </c>
      <c r="B140" s="6" t="inlineStr">
        <is>
          <t>revisit_cell_ratio_median</t>
        </is>
      </c>
      <c r="C140" s="6" t="inlineStr">
        <is>
          <t>재방문·어장반복(A)</t>
        </is>
      </c>
      <c r="D140" s="6" t="inlineStr">
        <is>
          <t>하루 내 재방문</t>
        </is>
      </c>
      <c r="E140" s="6" t="inlineStr">
        <is>
          <t>revisit_cell_ratio</t>
        </is>
      </c>
      <c r="F140" s="7" t="inlineStr">
        <is>
          <t>200m 격자 중 여러 시간대에 방문한 칸 비율</t>
        </is>
      </c>
      <c r="G140" s="7" t="inlineStr">
        <is>
          <t>출어일 값들의 중앙값</t>
        </is>
      </c>
      <c r="H140" s="6" t="inlineStr">
        <is>
          <t>L2→L3</t>
        </is>
      </c>
      <c r="I140" s="6" t="inlineStr">
        <is>
          <t>가설 A</t>
        </is>
      </c>
      <c r="J140" s="6" t="inlineStr"/>
      <c r="K140" s="6" t="inlineStr">
        <is>
          <t>가설 A(재방문)</t>
        </is>
      </c>
      <c r="L140" s="6" t="inlineStr">
        <is>
          <t>O</t>
        </is>
      </c>
      <c r="M140" s="6" t="inlineStr">
        <is>
          <t>O</t>
        </is>
      </c>
      <c r="N140" s="6" t="inlineStr"/>
      <c r="O140" s="12" t="n">
        <v>1</v>
      </c>
      <c r="P140" s="12" t="n">
        <v>0.2</v>
      </c>
      <c r="Q140" s="6" t="n">
        <v>78</v>
      </c>
      <c r="R140" s="6" t="n">
        <v>52</v>
      </c>
      <c r="S140" s="6" t="inlineStr"/>
    </row>
    <row r="141">
      <c r="A141" s="13" t="n">
        <v>140</v>
      </c>
      <c r="B141" s="13" t="inlineStr">
        <is>
          <t>top3_cell_share_median</t>
        </is>
      </c>
      <c r="C141" s="13" t="inlineStr">
        <is>
          <t>재방문·어장반복(A)</t>
        </is>
      </c>
      <c r="D141" s="13" t="inlineStr">
        <is>
          <t>하루 내 재방문</t>
        </is>
      </c>
      <c r="E141" s="13" t="inlineStr">
        <is>
          <t>top3_cell_share</t>
        </is>
      </c>
      <c r="F141" s="14" t="inlineStr">
        <is>
          <t>상위 3칸 체류 비중</t>
        </is>
      </c>
      <c r="G141" s="14" t="inlineStr">
        <is>
          <t>출어일 값들의 중앙값</t>
        </is>
      </c>
      <c r="H141" s="13" t="inlineStr">
        <is>
          <t>L2→L3</t>
        </is>
      </c>
      <c r="I141" s="13" t="inlineStr">
        <is>
          <t>가설 A</t>
        </is>
      </c>
      <c r="J141" s="13" t="inlineStr"/>
      <c r="K141" s="13" t="inlineStr">
        <is>
          <t>가설 A(재방문)</t>
        </is>
      </c>
      <c r="L141" s="13" t="inlineStr">
        <is>
          <t>O</t>
        </is>
      </c>
      <c r="M141" s="13" t="inlineStr">
        <is>
          <t>O</t>
        </is>
      </c>
      <c r="N141" s="13" t="inlineStr">
        <is>
          <t>O</t>
        </is>
      </c>
      <c r="O141" s="15" t="n">
        <v>0.8</v>
      </c>
      <c r="P141" s="15" t="n">
        <v>0.6</v>
      </c>
      <c r="Q141" s="13" t="n">
        <v>200</v>
      </c>
      <c r="R141" s="13" t="n">
        <v>19</v>
      </c>
      <c r="S141" s="13" t="inlineStr">
        <is>
          <t>top3_cell_share_mean</t>
        </is>
      </c>
    </row>
    <row r="142">
      <c r="A142" s="6" t="n">
        <v>141</v>
      </c>
      <c r="B142" s="6" t="inlineStr">
        <is>
          <t>n_cells_200m_median</t>
        </is>
      </c>
      <c r="C142" s="6" t="inlineStr">
        <is>
          <t>재방문·어장반복(A)</t>
        </is>
      </c>
      <c r="D142" s="6" t="inlineStr">
        <is>
          <t>하루 내 재방문</t>
        </is>
      </c>
      <c r="E142" s="6" t="inlineStr">
        <is>
          <t>n_cells_200m</t>
        </is>
      </c>
      <c r="F142" s="7" t="inlineStr">
        <is>
          <t>방문한 200m 격자 수</t>
        </is>
      </c>
      <c r="G142" s="7" t="inlineStr">
        <is>
          <t>출어일 값들의 중앙값</t>
        </is>
      </c>
      <c r="H142" s="6" t="inlineStr">
        <is>
          <t>L2→L3</t>
        </is>
      </c>
      <c r="I142" s="6" t="inlineStr">
        <is>
          <t>가설 A</t>
        </is>
      </c>
      <c r="J142" s="6" t="inlineStr"/>
      <c r="K142" s="6" t="inlineStr">
        <is>
          <t>가설 A(재방문)</t>
        </is>
      </c>
      <c r="L142" s="6" t="inlineStr">
        <is>
          <t>O</t>
        </is>
      </c>
      <c r="M142" s="6" t="inlineStr">
        <is>
          <t>O</t>
        </is>
      </c>
      <c r="N142" s="6" t="inlineStr"/>
      <c r="O142" s="12" t="n">
        <v>0</v>
      </c>
      <c r="P142" s="12" t="n">
        <v>0</v>
      </c>
      <c r="Q142" s="6" t="n">
        <v>323</v>
      </c>
      <c r="R142" s="6" t="n">
        <v>255</v>
      </c>
      <c r="S142" s="6" t="inlineStr">
        <is>
          <t>top3_cell_share_median</t>
        </is>
      </c>
    </row>
    <row r="143">
      <c r="A143" s="6" t="n">
        <v>142</v>
      </c>
      <c r="B143" s="6" t="inlineStr">
        <is>
          <t>stationary_ratio_median</t>
        </is>
      </c>
      <c r="C143" s="6" t="inlineStr">
        <is>
          <t>시간 사용·항차</t>
        </is>
      </c>
      <c r="D143" s="6" t="inlineStr">
        <is>
          <t>상태별 시간 비율</t>
        </is>
      </c>
      <c r="E143" s="6" t="inlineStr">
        <is>
          <t>stationary_ratio</t>
        </is>
      </c>
      <c r="F143" s="7" t="inlineStr">
        <is>
          <t>정박 시간대 비율</t>
        </is>
      </c>
      <c r="G143" s="7" t="inlineStr">
        <is>
          <t>출어일 값들의 중앙값</t>
        </is>
      </c>
      <c r="H143" s="6" t="inlineStr">
        <is>
          <t>L2→L3</t>
        </is>
      </c>
      <c r="I143" s="6" t="inlineStr">
        <is>
          <t>지유</t>
        </is>
      </c>
      <c r="J143" s="6" t="inlineStr"/>
      <c r="K143" s="6" t="inlineStr"/>
      <c r="L143" s="6" t="inlineStr">
        <is>
          <t>O</t>
        </is>
      </c>
      <c r="M143" s="6" t="inlineStr">
        <is>
          <t>O</t>
        </is>
      </c>
      <c r="N143" s="6" t="inlineStr"/>
      <c r="O143" s="12" t="n">
        <v>1</v>
      </c>
      <c r="P143" s="12" t="n">
        <v>0</v>
      </c>
      <c r="Q143" s="6" t="n">
        <v>68</v>
      </c>
      <c r="R143" s="6" t="n">
        <v>201</v>
      </c>
      <c r="S143" s="6" t="inlineStr"/>
    </row>
    <row r="144">
      <c r="A144" s="6" t="n">
        <v>143</v>
      </c>
      <c r="B144" s="6" t="inlineStr">
        <is>
          <t>n_segments_mean_median</t>
        </is>
      </c>
      <c r="C144" s="6" t="inlineStr">
        <is>
          <t>품질·기록량</t>
        </is>
      </c>
      <c r="D144" s="6" t="inlineStr">
        <is>
          <t>기록량</t>
        </is>
      </c>
      <c r="E144" s="6" t="inlineStr">
        <is>
          <t>n_segments_mean</t>
        </is>
      </c>
      <c r="F144" s="7" t="inlineStr">
        <is>
          <t>시간당 평균 구간 수</t>
        </is>
      </c>
      <c r="G144" s="7" t="inlineStr">
        <is>
          <t>출어일 값들의 중앙값</t>
        </is>
      </c>
      <c r="H144" s="6" t="inlineStr">
        <is>
          <t>L2→L3</t>
        </is>
      </c>
      <c r="I144" s="6" t="inlineStr">
        <is>
          <t>나연</t>
        </is>
      </c>
      <c r="J144" s="6" t="inlineStr"/>
      <c r="K144" s="6" t="inlineStr"/>
      <c r="L144" s="6" t="inlineStr">
        <is>
          <t>O</t>
        </is>
      </c>
      <c r="M144" s="6" t="inlineStr">
        <is>
          <t>O</t>
        </is>
      </c>
      <c r="N144" s="6" t="inlineStr"/>
      <c r="O144" s="12" t="n">
        <v>0.8</v>
      </c>
      <c r="P144" s="12" t="n">
        <v>0</v>
      </c>
      <c r="Q144" s="6" t="n">
        <v>215</v>
      </c>
      <c r="R144" s="6" t="n">
        <v>229</v>
      </c>
      <c r="S144" s="6" t="inlineStr">
        <is>
          <t>n_segments_mean_mean</t>
        </is>
      </c>
    </row>
    <row r="145">
      <c r="A145" s="6" t="n">
        <v>144</v>
      </c>
      <c r="B145" s="6" t="inlineStr">
        <is>
          <t>mv_sp_mean_median</t>
        </is>
      </c>
      <c r="C145" s="6" t="inlineStr">
        <is>
          <t>속도 구조(C)</t>
        </is>
      </c>
      <c r="D145" s="6" t="inlineStr">
        <is>
          <t>10분 구간 속도</t>
        </is>
      </c>
      <c r="E145" s="6" t="inlineStr">
        <is>
          <t>sp_mean</t>
        </is>
      </c>
      <c r="F145" s="7" t="inlineStr">
        <is>
          <t>10분 구간 추정속도 평균(kn)</t>
        </is>
      </c>
      <c r="G145" s="7" t="inlineStr">
        <is>
          <t>출어일마다 이동 시간대 평균 → 출어일들의 중앙값</t>
        </is>
      </c>
      <c r="H145" s="6" t="inlineStr">
        <is>
          <t>L1→L2→L3</t>
        </is>
      </c>
      <c r="I145" s="6" t="inlineStr">
        <is>
          <t>나연·진우</t>
        </is>
      </c>
      <c r="J145" s="6" t="inlineStr"/>
      <c r="K145" s="6" t="inlineStr"/>
      <c r="L145" s="6" t="inlineStr">
        <is>
          <t>O</t>
        </is>
      </c>
      <c r="M145" s="6" t="inlineStr">
        <is>
          <t>O</t>
        </is>
      </c>
      <c r="N145" s="6" t="inlineStr"/>
      <c r="O145" s="12" t="n">
        <v>0.6</v>
      </c>
      <c r="P145" s="12" t="n">
        <v>0.4</v>
      </c>
      <c r="Q145" s="6" t="n">
        <v>237</v>
      </c>
      <c r="R145" s="6" t="n">
        <v>34</v>
      </c>
      <c r="S145" s="6" t="inlineStr"/>
    </row>
    <row r="146">
      <c r="A146" s="6" t="n">
        <v>145</v>
      </c>
      <c r="B146" s="6" t="inlineStr">
        <is>
          <t>mv_sp_p90_median</t>
        </is>
      </c>
      <c r="C146" s="6" t="inlineStr">
        <is>
          <t>속도 구조(C)</t>
        </is>
      </c>
      <c r="D146" s="6" t="inlineStr">
        <is>
          <t>10분 구간 속도</t>
        </is>
      </c>
      <c r="E146" s="6" t="inlineStr">
        <is>
          <t>sp_p90</t>
        </is>
      </c>
      <c r="F146" s="7" t="inlineStr">
        <is>
          <t>10분 속도 90% 분위</t>
        </is>
      </c>
      <c r="G146" s="7" t="inlineStr">
        <is>
          <t>출어일마다 이동 시간대 평균 → 출어일들의 중앙값</t>
        </is>
      </c>
      <c r="H146" s="6" t="inlineStr">
        <is>
          <t>L1→L2→L3</t>
        </is>
      </c>
      <c r="I146" s="6" t="inlineStr">
        <is>
          <t>나연</t>
        </is>
      </c>
      <c r="J146" s="6" t="inlineStr"/>
      <c r="K146" s="6" t="inlineStr"/>
      <c r="L146" s="6" t="inlineStr">
        <is>
          <t>O</t>
        </is>
      </c>
      <c r="M146" s="6" t="inlineStr">
        <is>
          <t>O</t>
        </is>
      </c>
      <c r="N146" s="6" t="inlineStr"/>
      <c r="O146" s="12" t="n">
        <v>0.2</v>
      </c>
      <c r="P146" s="12" t="n">
        <v>0</v>
      </c>
      <c r="Q146" s="6" t="n">
        <v>297</v>
      </c>
      <c r="R146" s="6" t="n">
        <v>293</v>
      </c>
      <c r="S146" s="6" t="inlineStr">
        <is>
          <t>mv_sp_mean_median</t>
        </is>
      </c>
    </row>
    <row r="147">
      <c r="A147" s="6" t="n">
        <v>146</v>
      </c>
      <c r="B147" s="6" t="inlineStr">
        <is>
          <t>mv_sp_std_median</t>
        </is>
      </c>
      <c r="C147" s="6" t="inlineStr">
        <is>
          <t>속도 구조(C)</t>
        </is>
      </c>
      <c r="D147" s="6" t="inlineStr">
        <is>
          <t>10분 구간 속도</t>
        </is>
      </c>
      <c r="E147" s="6" t="inlineStr">
        <is>
          <t>sp_std</t>
        </is>
      </c>
      <c r="F147" s="7" t="inlineStr">
        <is>
          <t>10분 속도 표준편차</t>
        </is>
      </c>
      <c r="G147" s="7" t="inlineStr">
        <is>
          <t>출어일마다 이동 시간대 평균 → 출어일들의 중앙값</t>
        </is>
      </c>
      <c r="H147" s="6" t="inlineStr">
        <is>
          <t>L1→L2→L3</t>
        </is>
      </c>
      <c r="I147" s="6" t="inlineStr">
        <is>
          <t>나연</t>
        </is>
      </c>
      <c r="J147" s="6" t="inlineStr"/>
      <c r="K147" s="6" t="inlineStr"/>
      <c r="L147" s="6" t="inlineStr">
        <is>
          <t>O</t>
        </is>
      </c>
      <c r="M147" s="6" t="inlineStr">
        <is>
          <t>O</t>
        </is>
      </c>
      <c r="N147" s="6" t="inlineStr"/>
      <c r="O147" s="12" t="n">
        <v>0.2</v>
      </c>
      <c r="P147" s="12" t="n">
        <v>0</v>
      </c>
      <c r="Q147" s="6" t="n">
        <v>298</v>
      </c>
      <c r="R147" s="6" t="n">
        <v>305</v>
      </c>
      <c r="S147" s="6" t="inlineStr">
        <is>
          <t>mv_sp_std_mean</t>
        </is>
      </c>
    </row>
    <row r="148">
      <c r="A148" s="6" t="n">
        <v>147</v>
      </c>
      <c r="B148" s="6" t="inlineStr">
        <is>
          <t>mv_sp_change_mean_median</t>
        </is>
      </c>
      <c r="C148" s="6" t="inlineStr">
        <is>
          <t>속도 구조(C)</t>
        </is>
      </c>
      <c r="D148" s="6" t="inlineStr">
        <is>
          <t>10분 구간 속도</t>
        </is>
      </c>
      <c r="E148" s="6" t="inlineStr">
        <is>
          <t>sp_change_mean</t>
        </is>
      </c>
      <c r="F148" s="7" t="inlineStr">
        <is>
          <t>10분 속도 변화량 평균(가감속)</t>
        </is>
      </c>
      <c r="G148" s="7" t="inlineStr">
        <is>
          <t>출어일마다 이동 시간대 평균 → 출어일들의 중앙값</t>
        </is>
      </c>
      <c r="H148" s="6" t="inlineStr">
        <is>
          <t>L1→L2→L3</t>
        </is>
      </c>
      <c r="I148" s="6" t="inlineStr">
        <is>
          <t>나연</t>
        </is>
      </c>
      <c r="J148" s="6" t="inlineStr"/>
      <c r="K148" s="6" t="inlineStr"/>
      <c r="L148" s="6" t="inlineStr">
        <is>
          <t>O</t>
        </is>
      </c>
      <c r="M148" s="6" t="inlineStr">
        <is>
          <t>O</t>
        </is>
      </c>
      <c r="N148" s="6" t="inlineStr"/>
      <c r="O148" s="12" t="n">
        <v>0.6</v>
      </c>
      <c r="P148" s="12" t="n">
        <v>0</v>
      </c>
      <c r="Q148" s="6" t="n">
        <v>246</v>
      </c>
      <c r="R148" s="6" t="n">
        <v>328</v>
      </c>
      <c r="S148" s="6" t="inlineStr"/>
    </row>
    <row r="149">
      <c r="A149" s="6" t="n">
        <v>148</v>
      </c>
      <c r="B149" s="6" t="inlineStr">
        <is>
          <t>mv_frac_slow_median</t>
        </is>
      </c>
      <c r="C149" s="6" t="inlineStr">
        <is>
          <t>속도 구조(C)</t>
        </is>
      </c>
      <c r="D149" s="6" t="inlineStr">
        <is>
          <t>속도 구간 비율</t>
        </is>
      </c>
      <c r="E149" s="6" t="inlineStr">
        <is>
          <t>frac_slow</t>
        </is>
      </c>
      <c r="F149" s="7" t="inlineStr">
        <is>
          <t>저속(0.5~3kn) 구간 비율</t>
        </is>
      </c>
      <c r="G149" s="7" t="inlineStr">
        <is>
          <t>출어일마다 이동 시간대 평균 → 출어일들의 중앙값</t>
        </is>
      </c>
      <c r="H149" s="6" t="inlineStr">
        <is>
          <t>L1→L2→L3</t>
        </is>
      </c>
      <c r="I149" s="6" t="inlineStr">
        <is>
          <t>나연</t>
        </is>
      </c>
      <c r="J149" s="6" t="inlineStr"/>
      <c r="K149" s="6" t="inlineStr"/>
      <c r="L149" s="6" t="inlineStr">
        <is>
          <t>O</t>
        </is>
      </c>
      <c r="M149" s="6" t="inlineStr">
        <is>
          <t>O</t>
        </is>
      </c>
      <c r="N149" s="6" t="inlineStr"/>
      <c r="O149" s="12" t="n">
        <v>1</v>
      </c>
      <c r="P149" s="12" t="n">
        <v>0</v>
      </c>
      <c r="Q149" s="6" t="n">
        <v>105</v>
      </c>
      <c r="R149" s="6" t="n">
        <v>162</v>
      </c>
      <c r="S149" s="6" t="inlineStr"/>
    </row>
    <row r="150">
      <c r="A150" s="6" t="n">
        <v>149</v>
      </c>
      <c r="B150" s="6" t="inlineStr">
        <is>
          <t>mv_frac_mid_median</t>
        </is>
      </c>
      <c r="C150" s="6" t="inlineStr">
        <is>
          <t>속도 구조(C)</t>
        </is>
      </c>
      <c r="D150" s="6" t="inlineStr">
        <is>
          <t>속도 구간 비율</t>
        </is>
      </c>
      <c r="E150" s="6" t="inlineStr">
        <is>
          <t>frac_mid</t>
        </is>
      </c>
      <c r="F150" s="7" t="inlineStr">
        <is>
          <t>중속(3~6kn) 구간 비율</t>
        </is>
      </c>
      <c r="G150" s="7" t="inlineStr">
        <is>
          <t>출어일마다 이동 시간대 평균 → 출어일들의 중앙값</t>
        </is>
      </c>
      <c r="H150" s="6" t="inlineStr">
        <is>
          <t>L1→L2→L3</t>
        </is>
      </c>
      <c r="I150" s="6" t="inlineStr">
        <is>
          <t>나연</t>
        </is>
      </c>
      <c r="J150" s="6" t="inlineStr"/>
      <c r="K150" s="6" t="inlineStr"/>
      <c r="L150" s="6" t="inlineStr">
        <is>
          <t>O</t>
        </is>
      </c>
      <c r="M150" s="6" t="inlineStr">
        <is>
          <t>O</t>
        </is>
      </c>
      <c r="N150" s="6" t="inlineStr"/>
      <c r="O150" s="12" t="n">
        <v>1</v>
      </c>
      <c r="P150" s="12" t="n">
        <v>0</v>
      </c>
      <c r="Q150" s="6" t="n">
        <v>135</v>
      </c>
      <c r="R150" s="6" t="n">
        <v>143</v>
      </c>
      <c r="S150" s="6" t="inlineStr"/>
    </row>
    <row r="151">
      <c r="A151" s="6" t="n">
        <v>150</v>
      </c>
      <c r="B151" s="6" t="inlineStr">
        <is>
          <t>mv_frac_fast_median</t>
        </is>
      </c>
      <c r="C151" s="6" t="inlineStr">
        <is>
          <t>속도 구조(C)</t>
        </is>
      </c>
      <c r="D151" s="6" t="inlineStr">
        <is>
          <t>속도 구간 비율</t>
        </is>
      </c>
      <c r="E151" s="6" t="inlineStr">
        <is>
          <t>frac_fast</t>
        </is>
      </c>
      <c r="F151" s="7" t="inlineStr">
        <is>
          <t>고속(&gt;6kn) 구간 비율</t>
        </is>
      </c>
      <c r="G151" s="7" t="inlineStr">
        <is>
          <t>출어일마다 이동 시간대 평균 → 출어일들의 중앙값</t>
        </is>
      </c>
      <c r="H151" s="6" t="inlineStr">
        <is>
          <t>L1→L2→L3</t>
        </is>
      </c>
      <c r="I151" s="6" t="inlineStr">
        <is>
          <t>나연</t>
        </is>
      </c>
      <c r="J151" s="6" t="inlineStr"/>
      <c r="K151" s="6" t="inlineStr"/>
      <c r="L151" s="6" t="inlineStr">
        <is>
          <t>O</t>
        </is>
      </c>
      <c r="M151" s="6" t="inlineStr">
        <is>
          <t>O</t>
        </is>
      </c>
      <c r="N151" s="6" t="inlineStr"/>
      <c r="O151" s="12" t="n">
        <v>1</v>
      </c>
      <c r="P151" s="12" t="n">
        <v>0</v>
      </c>
      <c r="Q151" s="6" t="n">
        <v>156</v>
      </c>
      <c r="R151" s="6" t="n">
        <v>181</v>
      </c>
      <c r="S151" s="6" t="inlineStr"/>
    </row>
    <row r="152">
      <c r="A152" s="6" t="n">
        <v>151</v>
      </c>
      <c r="B152" s="6" t="inlineStr">
        <is>
          <t>mv_heading_R_median</t>
        </is>
      </c>
      <c r="C152" s="6" t="inlineStr">
        <is>
          <t>방향·회전(D)</t>
        </is>
      </c>
      <c r="D152" s="6" t="inlineStr">
        <is>
          <t>방향 일관성</t>
        </is>
      </c>
      <c r="E152" s="6" t="inlineStr">
        <is>
          <t>heading_R</t>
        </is>
      </c>
      <c r="F152" s="7" t="inlineStr">
        <is>
          <t>방향 일관성 (1=한 방향, 0=사방)</t>
        </is>
      </c>
      <c r="G152" s="7" t="inlineStr">
        <is>
          <t>출어일마다 이동 시간대 평균 → 출어일들의 중앙값</t>
        </is>
      </c>
      <c r="H152" s="6" t="inlineStr">
        <is>
          <t>L1→L2→L3</t>
        </is>
      </c>
      <c r="I152" s="6" t="inlineStr">
        <is>
          <t>진우·나연·민성</t>
        </is>
      </c>
      <c r="J152" s="6" t="inlineStr"/>
      <c r="K152" s="6" t="inlineStr"/>
      <c r="L152" s="6" t="inlineStr">
        <is>
          <t>O</t>
        </is>
      </c>
      <c r="M152" s="6" t="inlineStr">
        <is>
          <t>O</t>
        </is>
      </c>
      <c r="N152" s="6" t="inlineStr"/>
      <c r="O152" s="12" t="n">
        <v>0.2</v>
      </c>
      <c r="P152" s="12" t="n">
        <v>0</v>
      </c>
      <c r="Q152" s="6" t="n">
        <v>272</v>
      </c>
      <c r="R152" s="6" t="n">
        <v>93</v>
      </c>
      <c r="S152" s="6" t="inlineStr">
        <is>
          <t>mv_bearing_std_median</t>
        </is>
      </c>
    </row>
    <row r="153">
      <c r="A153" s="6" t="n">
        <v>152</v>
      </c>
      <c r="B153" s="6" t="inlineStr">
        <is>
          <t>mv_bearing_std_median</t>
        </is>
      </c>
      <c r="C153" s="6" t="inlineStr">
        <is>
          <t>방향·회전(D)</t>
        </is>
      </c>
      <c r="D153" s="6" t="inlineStr">
        <is>
          <t>방향 일관성</t>
        </is>
      </c>
      <c r="E153" s="6" t="inlineStr">
        <is>
          <t>bearing_std</t>
        </is>
      </c>
      <c r="F153" s="7" t="inlineStr">
        <is>
          <t>진행방향 원형 표준편차(°)</t>
        </is>
      </c>
      <c r="G153" s="7" t="inlineStr">
        <is>
          <t>출어일마다 이동 시간대 평균 → 출어일들의 중앙값</t>
        </is>
      </c>
      <c r="H153" s="6" t="inlineStr">
        <is>
          <t>L1→L2→L3</t>
        </is>
      </c>
      <c r="I153" s="6" t="inlineStr">
        <is>
          <t>지유</t>
        </is>
      </c>
      <c r="J153" s="6" t="inlineStr"/>
      <c r="K153" s="6" t="inlineStr"/>
      <c r="L153" s="6" t="inlineStr">
        <is>
          <t>O</t>
        </is>
      </c>
      <c r="M153" s="6" t="inlineStr">
        <is>
          <t>O</t>
        </is>
      </c>
      <c r="N153" s="6" t="inlineStr"/>
      <c r="O153" s="12" t="n">
        <v>0.4</v>
      </c>
      <c r="P153" s="12" t="n">
        <v>0.4</v>
      </c>
      <c r="Q153" s="6" t="n">
        <v>255</v>
      </c>
      <c r="R153" s="6" t="n">
        <v>37</v>
      </c>
      <c r="S153" s="6" t="inlineStr">
        <is>
          <t>mv_heading_R_mean</t>
        </is>
      </c>
    </row>
    <row r="154">
      <c r="A154" s="6" t="n">
        <v>153</v>
      </c>
      <c r="B154" s="6" t="inlineStr">
        <is>
          <t>mv_turn_mean_median</t>
        </is>
      </c>
      <c r="C154" s="6" t="inlineStr">
        <is>
          <t>방향·회전(D)</t>
        </is>
      </c>
      <c r="D154" s="6" t="inlineStr">
        <is>
          <t>회전각</t>
        </is>
      </c>
      <c r="E154" s="6" t="inlineStr">
        <is>
          <t>turn_mean</t>
        </is>
      </c>
      <c r="F154" s="7" t="inlineStr">
        <is>
          <t>회전각 평균(°)</t>
        </is>
      </c>
      <c r="G154" s="7" t="inlineStr">
        <is>
          <t>출어일마다 이동 시간대 평균 → 출어일들의 중앙값</t>
        </is>
      </c>
      <c r="H154" s="6" t="inlineStr">
        <is>
          <t>L1→L2→L3</t>
        </is>
      </c>
      <c r="I154" s="6" t="inlineStr">
        <is>
          <t>공통</t>
        </is>
      </c>
      <c r="J154" s="6" t="inlineStr"/>
      <c r="K154" s="6" t="inlineStr"/>
      <c r="L154" s="6" t="inlineStr">
        <is>
          <t>O</t>
        </is>
      </c>
      <c r="M154" s="6" t="inlineStr">
        <is>
          <t>O</t>
        </is>
      </c>
      <c r="N154" s="6" t="inlineStr"/>
      <c r="O154" s="12" t="n">
        <v>0</v>
      </c>
      <c r="P154" s="12" t="n">
        <v>0</v>
      </c>
      <c r="Q154" s="6" t="n">
        <v>322</v>
      </c>
      <c r="R154" s="6" t="n">
        <v>94</v>
      </c>
      <c r="S154" s="6" t="inlineStr">
        <is>
          <t>fh_turn_mean_q50</t>
        </is>
      </c>
    </row>
    <row r="155">
      <c r="A155" s="6" t="n">
        <v>154</v>
      </c>
      <c r="B155" s="6" t="inlineStr">
        <is>
          <t>mv_turn_std_median</t>
        </is>
      </c>
      <c r="C155" s="6" t="inlineStr">
        <is>
          <t>방향·회전(D)</t>
        </is>
      </c>
      <c r="D155" s="6" t="inlineStr">
        <is>
          <t>회전각</t>
        </is>
      </c>
      <c r="E155" s="6" t="inlineStr">
        <is>
          <t>turn_std</t>
        </is>
      </c>
      <c r="F155" s="7" t="inlineStr">
        <is>
          <t>회전각 표준편차</t>
        </is>
      </c>
      <c r="G155" s="7" t="inlineStr">
        <is>
          <t>출어일마다 이동 시간대 평균 → 출어일들의 중앙값</t>
        </is>
      </c>
      <c r="H155" s="6" t="inlineStr">
        <is>
          <t>L1→L2→L3</t>
        </is>
      </c>
      <c r="I155" s="6" t="inlineStr">
        <is>
          <t>공통</t>
        </is>
      </c>
      <c r="J155" s="6" t="inlineStr"/>
      <c r="K155" s="6" t="inlineStr"/>
      <c r="L155" s="6" t="inlineStr">
        <is>
          <t>O</t>
        </is>
      </c>
      <c r="M155" s="6" t="inlineStr">
        <is>
          <t>O</t>
        </is>
      </c>
      <c r="N155" s="6" t="inlineStr"/>
      <c r="O155" s="12" t="n">
        <v>0.8</v>
      </c>
      <c r="P155" s="12" t="n">
        <v>0</v>
      </c>
      <c r="Q155" s="6" t="n">
        <v>196</v>
      </c>
      <c r="R155" s="6" t="n">
        <v>90</v>
      </c>
      <c r="S155" s="6" t="inlineStr">
        <is>
          <t>mv_turn_std_mean</t>
        </is>
      </c>
    </row>
    <row r="156">
      <c r="A156" s="6" t="n">
        <v>155</v>
      </c>
      <c r="B156" s="6" t="inlineStr">
        <is>
          <t>mv_uturn_ratio_median</t>
        </is>
      </c>
      <c r="C156" s="6" t="inlineStr">
        <is>
          <t>방향·회전(D)</t>
        </is>
      </c>
      <c r="D156" s="6" t="inlineStr">
        <is>
          <t>급선회·U턴</t>
        </is>
      </c>
      <c r="E156" s="6" t="inlineStr">
        <is>
          <t>uturn_ratio</t>
        </is>
      </c>
      <c r="F156" s="7" t="inlineStr">
        <is>
          <t>U턴 비율</t>
        </is>
      </c>
      <c r="G156" s="7" t="inlineStr">
        <is>
          <t>출어일마다 이동 시간대 평균 → 출어일들의 중앙값</t>
        </is>
      </c>
      <c r="H156" s="6" t="inlineStr">
        <is>
          <t>L1→L2→L3</t>
        </is>
      </c>
      <c r="I156" s="6" t="inlineStr">
        <is>
          <t>나연</t>
        </is>
      </c>
      <c r="J156" s="6" t="inlineStr"/>
      <c r="K156" s="6" t="inlineStr"/>
      <c r="L156" s="6" t="inlineStr">
        <is>
          <t>O</t>
        </is>
      </c>
      <c r="M156" s="6" t="inlineStr">
        <is>
          <t>O</t>
        </is>
      </c>
      <c r="N156" s="6" t="inlineStr"/>
      <c r="O156" s="12" t="n">
        <v>1</v>
      </c>
      <c r="P156" s="12" t="n">
        <v>0</v>
      </c>
      <c r="Q156" s="6" t="n">
        <v>82</v>
      </c>
      <c r="R156" s="6" t="n">
        <v>135</v>
      </c>
      <c r="S156" s="6" t="inlineStr"/>
    </row>
    <row r="157">
      <c r="A157" s="6" t="n">
        <v>156</v>
      </c>
      <c r="B157" s="6" t="inlineStr">
        <is>
          <t>mv_turn90_per_km_median</t>
        </is>
      </c>
      <c r="C157" s="6" t="inlineStr">
        <is>
          <t>방향·회전(D)</t>
        </is>
      </c>
      <c r="D157" s="6" t="inlineStr">
        <is>
          <t>급선회·U턴</t>
        </is>
      </c>
      <c r="E157" s="6" t="inlineStr">
        <is>
          <t>turn90_per_km</t>
        </is>
      </c>
      <c r="F157" s="7" t="inlineStr">
        <is>
          <t>km당 90° 초과 회전 수</t>
        </is>
      </c>
      <c r="G157" s="7" t="inlineStr">
        <is>
          <t>출어일마다 이동 시간대 평균 → 출어일들의 중앙값</t>
        </is>
      </c>
      <c r="H157" s="6" t="inlineStr">
        <is>
          <t>L1→L2→L3</t>
        </is>
      </c>
      <c r="I157" s="6" t="inlineStr">
        <is>
          <t>나연</t>
        </is>
      </c>
      <c r="J157" s="6" t="inlineStr"/>
      <c r="K157" s="6" t="inlineStr"/>
      <c r="L157" s="6" t="inlineStr">
        <is>
          <t>O</t>
        </is>
      </c>
      <c r="M157" s="6" t="inlineStr">
        <is>
          <t>O</t>
        </is>
      </c>
      <c r="N157" s="6" t="inlineStr"/>
      <c r="O157" s="12" t="n">
        <v>1</v>
      </c>
      <c r="P157" s="12" t="n">
        <v>0</v>
      </c>
      <c r="Q157" s="6" t="n">
        <v>130</v>
      </c>
      <c r="R157" s="6" t="n">
        <v>250</v>
      </c>
      <c r="S157" s="6" t="inlineStr"/>
    </row>
    <row r="158">
      <c r="A158" s="6" t="n">
        <v>157</v>
      </c>
      <c r="B158" s="6" t="inlineStr">
        <is>
          <t>mv_large_turn_ratio_median</t>
        </is>
      </c>
      <c r="C158" s="6" t="inlineStr">
        <is>
          <t>방향·회전(D)</t>
        </is>
      </c>
      <c r="D158" s="6" t="inlineStr">
        <is>
          <t>급선회·U턴</t>
        </is>
      </c>
      <c r="E158" s="6" t="inlineStr">
        <is>
          <t>large_turn_ratio</t>
        </is>
      </c>
      <c r="F158" s="7" t="inlineStr">
        <is>
          <t>60° 초과 급선회 비율</t>
        </is>
      </c>
      <c r="G158" s="7" t="inlineStr">
        <is>
          <t>출어일마다 이동 시간대 평균 → 출어일들의 중앙값</t>
        </is>
      </c>
      <c r="H158" s="6" t="inlineStr">
        <is>
          <t>L1→L2→L3</t>
        </is>
      </c>
      <c r="I158" s="6" t="inlineStr">
        <is>
          <t>지유·민성·진우</t>
        </is>
      </c>
      <c r="J158" s="6" t="inlineStr"/>
      <c r="K158" s="6" t="inlineStr"/>
      <c r="L158" s="6" t="inlineStr">
        <is>
          <t>O</t>
        </is>
      </c>
      <c r="M158" s="6" t="inlineStr">
        <is>
          <t>O</t>
        </is>
      </c>
      <c r="N158" s="6" t="inlineStr"/>
      <c r="O158" s="12" t="n">
        <v>0.8</v>
      </c>
      <c r="P158" s="12" t="n">
        <v>0</v>
      </c>
      <c r="Q158" s="6" t="n">
        <v>206</v>
      </c>
      <c r="R158" s="6" t="n">
        <v>170</v>
      </c>
      <c r="S158" s="6" t="inlineStr">
        <is>
          <t>mv_large_turn_ratio_mean</t>
        </is>
      </c>
    </row>
    <row r="159">
      <c r="A159" s="6" t="n">
        <v>158</v>
      </c>
      <c r="B159" s="6" t="inlineStr">
        <is>
          <t>mv_loops_median</t>
        </is>
      </c>
      <c r="C159" s="6" t="inlineStr">
        <is>
          <t>방향·회전(D)</t>
        </is>
      </c>
      <c r="D159" s="6" t="inlineStr">
        <is>
          <t>루프</t>
        </is>
      </c>
      <c r="E159" s="6" t="inlineStr">
        <is>
          <t>loops</t>
        </is>
      </c>
      <c r="F159" s="7" t="inlineStr">
        <is>
          <t>누적 회전/360 = 제자리 맴돈 루프 수</t>
        </is>
      </c>
      <c r="G159" s="7" t="inlineStr">
        <is>
          <t>출어일마다 이동 시간대 평균 → 출어일들의 중앙값</t>
        </is>
      </c>
      <c r="H159" s="6" t="inlineStr">
        <is>
          <t>L1→L2→L3</t>
        </is>
      </c>
      <c r="I159" s="6" t="inlineStr">
        <is>
          <t>가설 D</t>
        </is>
      </c>
      <c r="J159" s="6" t="inlineStr"/>
      <c r="K159" s="6" t="inlineStr">
        <is>
          <t>가설 D(선회)</t>
        </is>
      </c>
      <c r="L159" s="6" t="inlineStr">
        <is>
          <t>O</t>
        </is>
      </c>
      <c r="M159" s="6" t="inlineStr">
        <is>
          <t>O</t>
        </is>
      </c>
      <c r="N159" s="6" t="inlineStr"/>
      <c r="O159" s="12" t="n">
        <v>0.2</v>
      </c>
      <c r="P159" s="12" t="n">
        <v>0</v>
      </c>
      <c r="Q159" s="6" t="n">
        <v>290</v>
      </c>
      <c r="R159" s="6" t="n">
        <v>138</v>
      </c>
      <c r="S159" s="6" t="inlineStr">
        <is>
          <t>mv_loops_mean</t>
        </is>
      </c>
    </row>
    <row r="160">
      <c r="A160" s="6" t="n">
        <v>159</v>
      </c>
      <c r="B160" s="6" t="inlineStr">
        <is>
          <t>mv_straightness_median</t>
        </is>
      </c>
      <c r="C160" s="6" t="inlineStr">
        <is>
          <t>경로형태·직선투망(B)</t>
        </is>
      </c>
      <c r="D160" s="6" t="inlineStr">
        <is>
          <t>직진도·구불거림</t>
        </is>
      </c>
      <c r="E160" s="6" t="inlineStr">
        <is>
          <t>straightness</t>
        </is>
      </c>
      <c r="F160" s="7" t="inlineStr">
        <is>
          <t>직진도 = 변위/거리 (0~1, 1=일직선)</t>
        </is>
      </c>
      <c r="G160" s="7" t="inlineStr">
        <is>
          <t>출어일마다 이동 시간대 평균 → 출어일들의 중앙값</t>
        </is>
      </c>
      <c r="H160" s="6" t="inlineStr">
        <is>
          <t>L1→L2→L3</t>
        </is>
      </c>
      <c r="I160" s="6" t="inlineStr">
        <is>
          <t>공통</t>
        </is>
      </c>
      <c r="J160" s="6" t="inlineStr"/>
      <c r="K160" s="6" t="inlineStr"/>
      <c r="L160" s="6" t="inlineStr">
        <is>
          <t>O</t>
        </is>
      </c>
      <c r="M160" s="6" t="inlineStr">
        <is>
          <t>O</t>
        </is>
      </c>
      <c r="N160" s="6" t="inlineStr"/>
      <c r="O160" s="12" t="n">
        <v>0.2</v>
      </c>
      <c r="P160" s="12" t="n">
        <v>0</v>
      </c>
      <c r="Q160" s="6" t="n">
        <v>281</v>
      </c>
      <c r="R160" s="6" t="n">
        <v>132</v>
      </c>
      <c r="S160" s="6" t="inlineStr">
        <is>
          <t>fh_straightness_q50</t>
        </is>
      </c>
    </row>
    <row r="161">
      <c r="A161" s="6" t="n">
        <v>160</v>
      </c>
      <c r="B161" s="6" t="inlineStr">
        <is>
          <t>mv_path_over_rg_median</t>
        </is>
      </c>
      <c r="C161" s="6" t="inlineStr">
        <is>
          <t>경로형태·직선투망(B)</t>
        </is>
      </c>
      <c r="D161" s="6" t="inlineStr">
        <is>
          <t>경로 반복도</t>
        </is>
      </c>
      <c r="E161" s="6" t="inlineStr">
        <is>
          <t>path_over_rg</t>
        </is>
      </c>
      <c r="F161" s="7" t="inlineStr">
        <is>
          <t>경로길이/회전반경</t>
        </is>
      </c>
      <c r="G161" s="7" t="inlineStr">
        <is>
          <t>출어일마다 이동 시간대 평균 → 출어일들의 중앙값</t>
        </is>
      </c>
      <c r="H161" s="6" t="inlineStr">
        <is>
          <t>L1→L2→L3</t>
        </is>
      </c>
      <c r="I161" s="6" t="inlineStr">
        <is>
          <t>나연</t>
        </is>
      </c>
      <c r="J161" s="6" t="inlineStr"/>
      <c r="K161" s="6" t="inlineStr"/>
      <c r="L161" s="6" t="inlineStr">
        <is>
          <t>O</t>
        </is>
      </c>
      <c r="M161" s="6" t="inlineStr">
        <is>
          <t>O</t>
        </is>
      </c>
      <c r="N161" s="6" t="inlineStr"/>
      <c r="O161" s="12" t="n">
        <v>0.6</v>
      </c>
      <c r="P161" s="12" t="n">
        <v>0</v>
      </c>
      <c r="Q161" s="6" t="n">
        <v>245</v>
      </c>
      <c r="R161" s="6" t="n">
        <v>179</v>
      </c>
      <c r="S161" s="6" t="inlineStr">
        <is>
          <t>fh_path_over_rg_q50</t>
        </is>
      </c>
    </row>
    <row r="162">
      <c r="A162" s="6" t="n">
        <v>161</v>
      </c>
      <c r="B162" s="6" t="inlineStr">
        <is>
          <t>mv_path_over_diag_median</t>
        </is>
      </c>
      <c r="C162" s="6" t="inlineStr">
        <is>
          <t>경로형태·직선투망(B)</t>
        </is>
      </c>
      <c r="D162" s="6" t="inlineStr">
        <is>
          <t>경로 반복도</t>
        </is>
      </c>
      <c r="E162" s="6" t="inlineStr">
        <is>
          <t>path_over_diag</t>
        </is>
      </c>
      <c r="F162" s="7" t="inlineStr">
        <is>
          <t>경로길이/범위 대각선: 같은 곳을 반복할수록 큼</t>
        </is>
      </c>
      <c r="G162" s="7" t="inlineStr">
        <is>
          <t>출어일마다 이동 시간대 평균 → 출어일들의 중앙값</t>
        </is>
      </c>
      <c r="H162" s="6" t="inlineStr">
        <is>
          <t>L1→L2→L3</t>
        </is>
      </c>
      <c r="I162" s="6" t="inlineStr">
        <is>
          <t>나연</t>
        </is>
      </c>
      <c r="J162" s="6" t="inlineStr"/>
      <c r="K162" s="6" t="inlineStr"/>
      <c r="L162" s="6" t="inlineStr">
        <is>
          <t>O</t>
        </is>
      </c>
      <c r="M162" s="6" t="inlineStr">
        <is>
          <t>O</t>
        </is>
      </c>
      <c r="N162" s="6" t="inlineStr"/>
      <c r="O162" s="12" t="n">
        <v>0</v>
      </c>
      <c r="P162" s="12" t="n">
        <v>0</v>
      </c>
      <c r="Q162" s="6" t="n">
        <v>339</v>
      </c>
      <c r="R162" s="6" t="n">
        <v>340</v>
      </c>
      <c r="S162" s="6" t="inlineStr">
        <is>
          <t>fh_path_over_rg_q50</t>
        </is>
      </c>
    </row>
    <row r="163">
      <c r="A163" s="13" t="n">
        <v>162</v>
      </c>
      <c r="B163" s="13" t="inlineStr">
        <is>
          <t>mv_n_stop_move_switch_median</t>
        </is>
      </c>
      <c r="C163" s="13" t="inlineStr">
        <is>
          <t>시간 사용·항차</t>
        </is>
      </c>
      <c r="D163" s="13" t="inlineStr">
        <is>
          <t>상태 전환</t>
        </is>
      </c>
      <c r="E163" s="13" t="inlineStr">
        <is>
          <t>n_stop_move_switch</t>
        </is>
      </c>
      <c r="F163" s="14" t="inlineStr">
        <is>
          <t>정지↔이동 전환 횟수</t>
        </is>
      </c>
      <c r="G163" s="14" t="inlineStr">
        <is>
          <t>출어일마다 이동 시간대 평균 → 출어일들의 중앙값</t>
        </is>
      </c>
      <c r="H163" s="13" t="inlineStr">
        <is>
          <t>L1→L2→L3</t>
        </is>
      </c>
      <c r="I163" s="13" t="inlineStr">
        <is>
          <t>나연</t>
        </is>
      </c>
      <c r="J163" s="13" t="inlineStr"/>
      <c r="K163" s="13" t="inlineStr"/>
      <c r="L163" s="13" t="inlineStr">
        <is>
          <t>O</t>
        </is>
      </c>
      <c r="M163" s="13" t="inlineStr">
        <is>
          <t>O</t>
        </is>
      </c>
      <c r="N163" s="13" t="inlineStr">
        <is>
          <t>O</t>
        </is>
      </c>
      <c r="O163" s="15" t="n">
        <v>1</v>
      </c>
      <c r="P163" s="15" t="n">
        <v>1</v>
      </c>
      <c r="Q163" s="13" t="n">
        <v>4</v>
      </c>
      <c r="R163" s="13" t="n">
        <v>3</v>
      </c>
      <c r="S163" s="13" t="inlineStr"/>
    </row>
    <row r="164">
      <c r="A164" s="6" t="n">
        <v>163</v>
      </c>
      <c r="B164" s="6" t="inlineStr">
        <is>
          <t>mv_rg_m_median</t>
        </is>
      </c>
      <c r="C164" s="6" t="inlineStr">
        <is>
          <t>이동량·공간범위</t>
        </is>
      </c>
      <c r="D164" s="6" t="inlineStr">
        <is>
          <t>활동 범위(1시간)</t>
        </is>
      </c>
      <c r="E164" s="6" t="inlineStr">
        <is>
          <t>rg_m</t>
        </is>
      </c>
      <c r="F164" s="7" t="inlineStr">
        <is>
          <t>회전반경: 중심에서 퍼진 정도(m)</t>
        </is>
      </c>
      <c r="G164" s="7" t="inlineStr">
        <is>
          <t>출어일마다 이동 시간대 평균 → 출어일들의 중앙값</t>
        </is>
      </c>
      <c r="H164" s="6" t="inlineStr">
        <is>
          <t>L1→L2→L3</t>
        </is>
      </c>
      <c r="I164" s="6" t="inlineStr">
        <is>
          <t>민성·나연·진우</t>
        </is>
      </c>
      <c r="J164" s="6" t="inlineStr"/>
      <c r="K164" s="6" t="inlineStr"/>
      <c r="L164" s="6" t="inlineStr">
        <is>
          <t>O</t>
        </is>
      </c>
      <c r="M164" s="6" t="inlineStr">
        <is>
          <t>O</t>
        </is>
      </c>
      <c r="N164" s="6" t="inlineStr"/>
      <c r="O164" s="12" t="n">
        <v>0</v>
      </c>
      <c r="P164" s="12" t="n">
        <v>0</v>
      </c>
      <c r="Q164" s="6" t="n">
        <v>331</v>
      </c>
      <c r="R164" s="6" t="n">
        <v>320</v>
      </c>
      <c r="S164" s="6" t="inlineStr">
        <is>
          <t>mv_sp_mean_median</t>
        </is>
      </c>
    </row>
    <row r="165">
      <c r="A165" s="6" t="n">
        <v>164</v>
      </c>
      <c r="B165" s="6" t="inlineStr">
        <is>
          <t>mv_rg_med_m_median</t>
        </is>
      </c>
      <c r="C165" s="6" t="inlineStr">
        <is>
          <t>이동량·공간범위</t>
        </is>
      </c>
      <c r="D165" s="6" t="inlineStr">
        <is>
          <t>활동 범위(1시간)</t>
        </is>
      </c>
      <c r="E165" s="6" t="inlineStr">
        <is>
          <t>rg_med_m</t>
        </is>
      </c>
      <c r="F165" s="7" t="inlineStr">
        <is>
          <t>중앙 반경: 중앙점까지 거리의 중앙값(m, 지터 강건)</t>
        </is>
      </c>
      <c r="G165" s="7" t="inlineStr">
        <is>
          <t>출어일마다 이동 시간대 평균 → 출어일들의 중앙값</t>
        </is>
      </c>
      <c r="H165" s="6" t="inlineStr">
        <is>
          <t>L1→L2→L3</t>
        </is>
      </c>
      <c r="I165" s="6" t="inlineStr">
        <is>
          <t>민성</t>
        </is>
      </c>
      <c r="J165" s="6" t="inlineStr"/>
      <c r="K165" s="6" t="inlineStr"/>
      <c r="L165" s="6" t="inlineStr">
        <is>
          <t>O</t>
        </is>
      </c>
      <c r="M165" s="6" t="inlineStr">
        <is>
          <t>O</t>
        </is>
      </c>
      <c r="N165" s="6" t="inlineStr"/>
      <c r="O165" s="12" t="n">
        <v>1</v>
      </c>
      <c r="P165" s="12" t="n">
        <v>0</v>
      </c>
      <c r="Q165" s="6" t="n">
        <v>151</v>
      </c>
      <c r="R165" s="6" t="n">
        <v>277</v>
      </c>
      <c r="S165" s="6" t="inlineStr">
        <is>
          <t>mv_rg_med_m_mean</t>
        </is>
      </c>
    </row>
    <row r="166">
      <c r="A166" s="6" t="n">
        <v>165</v>
      </c>
      <c r="B166" s="6" t="inlineStr">
        <is>
          <t>mv_bbox_diag_m_median</t>
        </is>
      </c>
      <c r="C166" s="6" t="inlineStr">
        <is>
          <t>이동량·공간범위</t>
        </is>
      </c>
      <c r="D166" s="6" t="inlineStr">
        <is>
          <t>활동 범위(1시간)</t>
        </is>
      </c>
      <c r="E166" s="6" t="inlineStr">
        <is>
          <t>bbox_diag_m</t>
        </is>
      </c>
      <c r="F166" s="7" t="inlineStr">
        <is>
          <t>활동 사각형 대각선(m)</t>
        </is>
      </c>
      <c r="G166" s="7" t="inlineStr">
        <is>
          <t>출어일마다 이동 시간대 평균 → 출어일들의 중앙값</t>
        </is>
      </c>
      <c r="H166" s="6" t="inlineStr">
        <is>
          <t>L1→L2→L3</t>
        </is>
      </c>
      <c r="I166" s="6" t="inlineStr">
        <is>
          <t>나연</t>
        </is>
      </c>
      <c r="J166" s="6" t="inlineStr"/>
      <c r="K166" s="6" t="inlineStr"/>
      <c r="L166" s="6" t="inlineStr">
        <is>
          <t>O</t>
        </is>
      </c>
      <c r="M166" s="6" t="inlineStr">
        <is>
          <t>O</t>
        </is>
      </c>
      <c r="N166" s="6" t="inlineStr"/>
      <c r="O166" s="12" t="n">
        <v>0</v>
      </c>
      <c r="P166" s="12" t="n">
        <v>0</v>
      </c>
      <c r="Q166" s="6" t="n">
        <v>330</v>
      </c>
      <c r="R166" s="6" t="n">
        <v>302</v>
      </c>
      <c r="S166" s="6" t="inlineStr">
        <is>
          <t>mv_sp_mean_median</t>
        </is>
      </c>
    </row>
    <row r="167">
      <c r="A167" s="6" t="n">
        <v>166</v>
      </c>
      <c r="B167" s="6" t="inlineStr">
        <is>
          <t>mv_bbox_aspect_median</t>
        </is>
      </c>
      <c r="C167" s="6" t="inlineStr">
        <is>
          <t>경로형태·직선투망(B)</t>
        </is>
      </c>
      <c r="D167" s="6" t="inlineStr">
        <is>
          <t>직선 투망 형상</t>
        </is>
      </c>
      <c r="E167" s="6" t="inlineStr">
        <is>
          <t>bbox_aspect</t>
        </is>
      </c>
      <c r="F167" s="7" t="inlineStr">
        <is>
          <t>활동 사각형 가로세로비: 길쭉할수록 큼</t>
        </is>
      </c>
      <c r="G167" s="7" t="inlineStr">
        <is>
          <t>출어일마다 이동 시간대 평균 → 출어일들의 중앙값</t>
        </is>
      </c>
      <c r="H167" s="6" t="inlineStr">
        <is>
          <t>L1→L2→L3</t>
        </is>
      </c>
      <c r="I167" s="6" t="inlineStr">
        <is>
          <t>나연</t>
        </is>
      </c>
      <c r="J167" s="6" t="inlineStr"/>
      <c r="K167" s="6" t="inlineStr"/>
      <c r="L167" s="6" t="inlineStr">
        <is>
          <t>O</t>
        </is>
      </c>
      <c r="M167" s="6" t="inlineStr">
        <is>
          <t>O</t>
        </is>
      </c>
      <c r="N167" s="6" t="inlineStr"/>
      <c r="O167" s="12" t="n">
        <v>1</v>
      </c>
      <c r="P167" s="12" t="n">
        <v>0</v>
      </c>
      <c r="Q167" s="6" t="n">
        <v>174</v>
      </c>
      <c r="R167" s="6" t="n">
        <v>190</v>
      </c>
      <c r="S167" s="6" t="inlineStr"/>
    </row>
    <row r="168">
      <c r="A168" s="6" t="n">
        <v>167</v>
      </c>
      <c r="B168" s="6" t="inlineStr">
        <is>
          <t>mv_hull_area_m2_median</t>
        </is>
      </c>
      <c r="C168" s="6" t="inlineStr">
        <is>
          <t>이동량·공간범위</t>
        </is>
      </c>
      <c r="D168" s="6" t="inlineStr">
        <is>
          <t>활동 범위(1시간)</t>
        </is>
      </c>
      <c r="E168" s="6" t="inlineStr">
        <is>
          <t>hull_area_m2</t>
        </is>
      </c>
      <c r="F168" s="7" t="inlineStr">
        <is>
          <t>볼록껍질 면적(m²)</t>
        </is>
      </c>
      <c r="G168" s="7" t="inlineStr">
        <is>
          <t>출어일마다 이동 시간대 평균 → 출어일들의 중앙값</t>
        </is>
      </c>
      <c r="H168" s="6" t="inlineStr">
        <is>
          <t>L1→L2→L3</t>
        </is>
      </c>
      <c r="I168" s="6" t="inlineStr">
        <is>
          <t>지유·민성</t>
        </is>
      </c>
      <c r="J168" s="6" t="inlineStr"/>
      <c r="K168" s="6" t="inlineStr"/>
      <c r="L168" s="6" t="inlineStr">
        <is>
          <t>O</t>
        </is>
      </c>
      <c r="M168" s="6" t="inlineStr">
        <is>
          <t>O</t>
        </is>
      </c>
      <c r="N168" s="6" t="inlineStr"/>
      <c r="O168" s="12" t="n">
        <v>1</v>
      </c>
      <c r="P168" s="12" t="n">
        <v>0</v>
      </c>
      <c r="Q168" s="6" t="n">
        <v>168</v>
      </c>
      <c r="R168" s="6" t="n">
        <v>290</v>
      </c>
      <c r="S168" s="6" t="inlineStr"/>
    </row>
    <row r="169">
      <c r="A169" s="6" t="n">
        <v>168</v>
      </c>
      <c r="B169" s="6" t="inlineStr">
        <is>
          <t>mv_uniq_pos_ratio_median</t>
        </is>
      </c>
      <c r="C169" s="6" t="inlineStr">
        <is>
          <t>품질·기록량</t>
        </is>
      </c>
      <c r="D169" s="6" t="inlineStr">
        <is>
          <t>기록량</t>
        </is>
      </c>
      <c r="E169" s="6" t="inlineStr">
        <is>
          <t>uniq_pos_ratio</t>
        </is>
      </c>
      <c r="F169" s="7" t="inlineStr">
        <is>
          <t>고유 위치(10m 격자) 비율: 낮으면 제자리</t>
        </is>
      </c>
      <c r="G169" s="7" t="inlineStr">
        <is>
          <t>출어일마다 이동 시간대 평균 → 출어일들의 중앙값</t>
        </is>
      </c>
      <c r="H169" s="6" t="inlineStr">
        <is>
          <t>L1→L2→L3</t>
        </is>
      </c>
      <c r="I169" s="6" t="inlineStr">
        <is>
          <t>나연</t>
        </is>
      </c>
      <c r="J169" s="6" t="inlineStr"/>
      <c r="K169" s="6" t="inlineStr"/>
      <c r="L169" s="6" t="inlineStr">
        <is>
          <t>O</t>
        </is>
      </c>
      <c r="M169" s="6" t="inlineStr">
        <is>
          <t>O</t>
        </is>
      </c>
      <c r="N169" s="6" t="inlineStr"/>
      <c r="O169" s="12" t="n">
        <v>0.2</v>
      </c>
      <c r="P169" s="12" t="n">
        <v>0</v>
      </c>
      <c r="Q169" s="6" t="n">
        <v>300</v>
      </c>
      <c r="R169" s="6" t="n">
        <v>308</v>
      </c>
      <c r="S169" s="6" t="inlineStr">
        <is>
          <t>fh_uniq_pos_ratio_q50</t>
        </is>
      </c>
    </row>
    <row r="170">
      <c r="A170" s="13" t="n">
        <v>169</v>
      </c>
      <c r="B170" s="13" t="inlineStr">
        <is>
          <t>mv_pca_elong_median</t>
        </is>
      </c>
      <c r="C170" s="13" t="inlineStr">
        <is>
          <t>경로형태·직선투망(B)</t>
        </is>
      </c>
      <c r="D170" s="13" t="inlineStr">
        <is>
          <t>직선 투망 형상</t>
        </is>
      </c>
      <c r="E170" s="13" t="inlineStr">
        <is>
          <t>pca_elong</t>
        </is>
      </c>
      <c r="F170" s="14" t="inlineStr">
        <is>
          <t>PCA 연신율 log(1+λ1/λ2): 직선 모양일수록 큼</t>
        </is>
      </c>
      <c r="G170" s="14" t="inlineStr">
        <is>
          <t>출어일마다 이동 시간대 평균 → 출어일들의 중앙값</t>
        </is>
      </c>
      <c r="H170" s="13" t="inlineStr">
        <is>
          <t>L1→L2→L3</t>
        </is>
      </c>
      <c r="I170" s="13" t="inlineStr">
        <is>
          <t>가설 B</t>
        </is>
      </c>
      <c r="J170" s="13" t="inlineStr"/>
      <c r="K170" s="13" t="inlineStr">
        <is>
          <t>가설 B(직선 투망)</t>
        </is>
      </c>
      <c r="L170" s="13" t="inlineStr">
        <is>
          <t>O</t>
        </is>
      </c>
      <c r="M170" s="13" t="inlineStr">
        <is>
          <t>O</t>
        </is>
      </c>
      <c r="N170" s="13" t="inlineStr">
        <is>
          <t>O</t>
        </is>
      </c>
      <c r="O170" s="15" t="n">
        <v>0.2</v>
      </c>
      <c r="P170" s="15" t="n">
        <v>0.4</v>
      </c>
      <c r="Q170" s="13" t="n">
        <v>271</v>
      </c>
      <c r="R170" s="13" t="n">
        <v>30</v>
      </c>
      <c r="S170" s="13" t="inlineStr">
        <is>
          <t>mv_pca_elong_mean</t>
        </is>
      </c>
    </row>
    <row r="171">
      <c r="A171" s="13" t="n">
        <v>170</v>
      </c>
      <c r="B171" s="13" t="inlineStr">
        <is>
          <t>mv_seg_sinuosity_mean_median</t>
        </is>
      </c>
      <c r="C171" s="13" t="inlineStr">
        <is>
          <t>경로형태·직선투망(B)</t>
        </is>
      </c>
      <c r="D171" s="13" t="inlineStr">
        <is>
          <t>직진도·구불거림</t>
        </is>
      </c>
      <c r="E171" s="13" t="inlineStr">
        <is>
          <t>seg_sinuosity_mean</t>
        </is>
      </c>
      <c r="F171" s="14" t="inlineStr">
        <is>
          <t>구간별 구불거림 평균 (변위 100m 이상 구간)</t>
        </is>
      </c>
      <c r="G171" s="14" t="inlineStr">
        <is>
          <t>출어일마다 이동 시간대 평균 → 출어일들의 중앙값</t>
        </is>
      </c>
      <c r="H171" s="13" t="inlineStr">
        <is>
          <t>L1→L2→L3</t>
        </is>
      </c>
      <c r="I171" s="13" t="inlineStr">
        <is>
          <t>지유</t>
        </is>
      </c>
      <c r="J171" s="13" t="inlineStr"/>
      <c r="K171" s="13" t="inlineStr"/>
      <c r="L171" s="13" t="inlineStr">
        <is>
          <t>O</t>
        </is>
      </c>
      <c r="M171" s="13" t="inlineStr">
        <is>
          <t>O</t>
        </is>
      </c>
      <c r="N171" s="13" t="inlineStr">
        <is>
          <t>O</t>
        </is>
      </c>
      <c r="O171" s="15" t="n">
        <v>1</v>
      </c>
      <c r="P171" s="15" t="n">
        <v>0.4</v>
      </c>
      <c r="Q171" s="13" t="n">
        <v>16</v>
      </c>
      <c r="R171" s="13" t="n">
        <v>29</v>
      </c>
      <c r="S171" s="13" t="inlineStr"/>
    </row>
    <row r="172">
      <c r="A172" s="6" t="n">
        <v>171</v>
      </c>
      <c r="B172" s="6" t="inlineStr">
        <is>
          <t>mv_ks_speed_med_median</t>
        </is>
      </c>
      <c r="C172" s="6" t="inlineStr">
        <is>
          <t>속도 구조(C)</t>
        </is>
      </c>
      <c r="D172" s="6" t="inlineStr">
        <is>
          <t>5-step 강건 속도</t>
        </is>
      </c>
      <c r="E172" s="6" t="inlineStr">
        <is>
          <t>ks_speed_med</t>
        </is>
      </c>
      <c r="F172" s="7" t="inlineStr">
        <is>
          <t>5-step 속도 중앙값(kn)</t>
        </is>
      </c>
      <c r="G172" s="7" t="inlineStr">
        <is>
          <t>출어일마다 이동 시간대 평균 → 출어일들의 중앙값</t>
        </is>
      </c>
      <c r="H172" s="6" t="inlineStr">
        <is>
          <t>L1→L2→L3</t>
        </is>
      </c>
      <c r="I172" s="6" t="inlineStr">
        <is>
          <t>민성</t>
        </is>
      </c>
      <c r="J172" s="6" t="inlineStr"/>
      <c r="K172" s="6" t="inlineStr"/>
      <c r="L172" s="6" t="inlineStr">
        <is>
          <t>O</t>
        </is>
      </c>
      <c r="M172" s="6" t="inlineStr">
        <is>
          <t>O</t>
        </is>
      </c>
      <c r="N172" s="6" t="inlineStr"/>
      <c r="O172" s="12" t="n">
        <v>0.2</v>
      </c>
      <c r="P172" s="12" t="n">
        <v>0</v>
      </c>
      <c r="Q172" s="6" t="n">
        <v>311</v>
      </c>
      <c r="R172" s="6" t="n">
        <v>333</v>
      </c>
      <c r="S172" s="6" t="inlineStr">
        <is>
          <t>mv_ks_speed_med_mean</t>
        </is>
      </c>
    </row>
    <row r="173">
      <c r="A173" s="6" t="n">
        <v>172</v>
      </c>
      <c r="B173" s="6" t="inlineStr">
        <is>
          <t>mv_ks_speed_p90_median</t>
        </is>
      </c>
      <c r="C173" s="6" t="inlineStr">
        <is>
          <t>속도 구조(C)</t>
        </is>
      </c>
      <c r="D173" s="6" t="inlineStr">
        <is>
          <t>5-step 강건 속도</t>
        </is>
      </c>
      <c r="E173" s="6" t="inlineStr">
        <is>
          <t>ks_speed_p90</t>
        </is>
      </c>
      <c r="F173" s="7" t="inlineStr">
        <is>
          <t>5-step 속도 90% 분위</t>
        </is>
      </c>
      <c r="G173" s="7" t="inlineStr">
        <is>
          <t>출어일마다 이동 시간대 평균 → 출어일들의 중앙값</t>
        </is>
      </c>
      <c r="H173" s="6" t="inlineStr">
        <is>
          <t>L1→L2→L3</t>
        </is>
      </c>
      <c r="I173" s="6" t="inlineStr">
        <is>
          <t>민성</t>
        </is>
      </c>
      <c r="J173" s="6" t="inlineStr"/>
      <c r="K173" s="6" t="inlineStr"/>
      <c r="L173" s="6" t="inlineStr">
        <is>
          <t>O</t>
        </is>
      </c>
      <c r="M173" s="6" t="inlineStr">
        <is>
          <t>O</t>
        </is>
      </c>
      <c r="N173" s="6" t="inlineStr"/>
      <c r="O173" s="12" t="n">
        <v>0.6</v>
      </c>
      <c r="P173" s="12" t="n">
        <v>0</v>
      </c>
      <c r="Q173" s="6" t="n">
        <v>247</v>
      </c>
      <c r="R173" s="6" t="n">
        <v>321</v>
      </c>
      <c r="S173" s="6" t="inlineStr">
        <is>
          <t>mv_ks_speed_p90_mean</t>
        </is>
      </c>
    </row>
    <row r="174">
      <c r="A174" s="6" t="n">
        <v>173</v>
      </c>
      <c r="B174" s="6" t="inlineStr">
        <is>
          <t>mv_ks_heading_R_median</t>
        </is>
      </c>
      <c r="C174" s="6" t="inlineStr">
        <is>
          <t>방향·회전(D)</t>
        </is>
      </c>
      <c r="D174" s="6" t="inlineStr">
        <is>
          <t>방향 일관성</t>
        </is>
      </c>
      <c r="E174" s="6" t="inlineStr">
        <is>
          <t>ks_heading_R</t>
        </is>
      </c>
      <c r="F174" s="7" t="inlineStr">
        <is>
          <t>5-step 방향 일관성</t>
        </is>
      </c>
      <c r="G174" s="7" t="inlineStr">
        <is>
          <t>출어일마다 이동 시간대 평균 → 출어일들의 중앙값</t>
        </is>
      </c>
      <c r="H174" s="6" t="inlineStr">
        <is>
          <t>L1→L2→L3</t>
        </is>
      </c>
      <c r="I174" s="6" t="inlineStr">
        <is>
          <t>민성</t>
        </is>
      </c>
      <c r="J174" s="6" t="inlineStr"/>
      <c r="K174" s="6" t="inlineStr"/>
      <c r="L174" s="6" t="inlineStr">
        <is>
          <t>O</t>
        </is>
      </c>
      <c r="M174" s="6" t="inlineStr">
        <is>
          <t>O</t>
        </is>
      </c>
      <c r="N174" s="6" t="inlineStr"/>
      <c r="O174" s="12" t="n">
        <v>0</v>
      </c>
      <c r="P174" s="12" t="n">
        <v>0</v>
      </c>
      <c r="Q174" s="6" t="n">
        <v>319</v>
      </c>
      <c r="R174" s="6" t="n">
        <v>142</v>
      </c>
      <c r="S174" s="6" t="inlineStr">
        <is>
          <t>mv_ks_heading_R_mean</t>
        </is>
      </c>
    </row>
    <row r="175">
      <c r="A175" s="6" t="n">
        <v>174</v>
      </c>
      <c r="B175" s="6" t="inlineStr">
        <is>
          <t>mv_ks_turn_med_median</t>
        </is>
      </c>
      <c r="C175" s="6" t="inlineStr">
        <is>
          <t>방향·회전(D)</t>
        </is>
      </c>
      <c r="D175" s="6" t="inlineStr">
        <is>
          <t>회전각</t>
        </is>
      </c>
      <c r="E175" s="6" t="inlineStr">
        <is>
          <t>ks_turn_med</t>
        </is>
      </c>
      <c r="F175" s="7" t="inlineStr">
        <is>
          <t>5-step 회전각 중앙값(°)</t>
        </is>
      </c>
      <c r="G175" s="7" t="inlineStr">
        <is>
          <t>출어일마다 이동 시간대 평균 → 출어일들의 중앙값</t>
        </is>
      </c>
      <c r="H175" s="6" t="inlineStr">
        <is>
          <t>L1→L2→L3</t>
        </is>
      </c>
      <c r="I175" s="6" t="inlineStr">
        <is>
          <t>민성</t>
        </is>
      </c>
      <c r="J175" s="6" t="inlineStr"/>
      <c r="K175" s="6" t="inlineStr"/>
      <c r="L175" s="6" t="inlineStr">
        <is>
          <t>O</t>
        </is>
      </c>
      <c r="M175" s="6" t="inlineStr">
        <is>
          <t>O</t>
        </is>
      </c>
      <c r="N175" s="6" t="inlineStr"/>
      <c r="O175" s="12" t="n">
        <v>0.4</v>
      </c>
      <c r="P175" s="12" t="n">
        <v>0.4</v>
      </c>
      <c r="Q175" s="6" t="n">
        <v>259</v>
      </c>
      <c r="R175" s="6" t="n">
        <v>31</v>
      </c>
      <c r="S175" s="6" t="inlineStr">
        <is>
          <t>mv_ks_turn_med_mean</t>
        </is>
      </c>
    </row>
    <row r="176">
      <c r="A176" s="6" t="n">
        <v>175</v>
      </c>
      <c r="B176" s="6" t="inlineStr">
        <is>
          <t>mv_ks_straight_max_m_median</t>
        </is>
      </c>
      <c r="C176" s="6" t="inlineStr">
        <is>
          <t>경로형태·직선투망(B)</t>
        </is>
      </c>
      <c r="D176" s="6" t="inlineStr">
        <is>
          <t>직선 투망 형상</t>
        </is>
      </c>
      <c r="E176" s="6" t="inlineStr">
        <is>
          <t>ks_straight_max_m</t>
        </is>
      </c>
      <c r="F176" s="7" t="inlineStr">
        <is>
          <t>5-step 최장 직선 이동(m, 회전 15° 미만 연속) = 투망 길이 추정</t>
        </is>
      </c>
      <c r="G176" s="7" t="inlineStr">
        <is>
          <t>출어일마다 이동 시간대 평균 → 출어일들의 중앙값</t>
        </is>
      </c>
      <c r="H176" s="6" t="inlineStr">
        <is>
          <t>L1→L2→L3</t>
        </is>
      </c>
      <c r="I176" s="6" t="inlineStr">
        <is>
          <t>민성·가설 B</t>
        </is>
      </c>
      <c r="J176" s="6" t="inlineStr"/>
      <c r="K176" s="6" t="inlineStr">
        <is>
          <t>가설 B(직선 투망)</t>
        </is>
      </c>
      <c r="L176" s="6" t="inlineStr">
        <is>
          <t>O</t>
        </is>
      </c>
      <c r="M176" s="6" t="inlineStr">
        <is>
          <t>O</t>
        </is>
      </c>
      <c r="N176" s="6" t="inlineStr"/>
      <c r="O176" s="12" t="n">
        <v>0.4</v>
      </c>
      <c r="P176" s="12" t="n">
        <v>0</v>
      </c>
      <c r="Q176" s="6" t="n">
        <v>263</v>
      </c>
      <c r="R176" s="6" t="n">
        <v>227</v>
      </c>
      <c r="S176" s="6" t="inlineStr">
        <is>
          <t>mv_ks_straight_max_m_mean</t>
        </is>
      </c>
    </row>
    <row r="177">
      <c r="A177" s="6" t="n">
        <v>176</v>
      </c>
      <c r="B177" s="6" t="inlineStr">
        <is>
          <t>mv_slow_run_max_min_median</t>
        </is>
      </c>
      <c r="C177" s="6" t="inlineStr">
        <is>
          <t>속도 구조(C)</t>
        </is>
      </c>
      <c r="D177" s="6" t="inlineStr">
        <is>
          <t>저속 연속·속도 다양성</t>
        </is>
      </c>
      <c r="E177" s="6" t="inlineStr">
        <is>
          <t>slow_run_max_min</t>
        </is>
      </c>
      <c r="F177" s="7" t="inlineStr">
        <is>
          <t>저속(0.3~2kn) 최장 연속 시간(분) = 양망 추정</t>
        </is>
      </c>
      <c r="G177" s="7" t="inlineStr">
        <is>
          <t>출어일마다 이동 시간대 평균 → 출어일들의 중앙값</t>
        </is>
      </c>
      <c r="H177" s="6" t="inlineStr">
        <is>
          <t>L1→L2→L3</t>
        </is>
      </c>
      <c r="I177" s="6" t="inlineStr">
        <is>
          <t>가설 C</t>
        </is>
      </c>
      <c r="J177" s="6" t="inlineStr"/>
      <c r="K177" s="6" t="inlineStr">
        <is>
          <t>가설 C(속도 구조)</t>
        </is>
      </c>
      <c r="L177" s="6" t="inlineStr">
        <is>
          <t>O</t>
        </is>
      </c>
      <c r="M177" s="6" t="inlineStr">
        <is>
          <t>O</t>
        </is>
      </c>
      <c r="N177" s="6" t="inlineStr"/>
      <c r="O177" s="12" t="n">
        <v>0.8</v>
      </c>
      <c r="P177" s="12" t="n">
        <v>0</v>
      </c>
      <c r="Q177" s="6" t="n">
        <v>208</v>
      </c>
      <c r="R177" s="6" t="n">
        <v>185</v>
      </c>
      <c r="S177" s="6" t="inlineStr">
        <is>
          <t>mv_slow_run_max_min_mean</t>
        </is>
      </c>
    </row>
    <row r="178">
      <c r="A178" s="6" t="n">
        <v>177</v>
      </c>
      <c r="B178" s="6" t="inlineStr">
        <is>
          <t>mv_speed_entropy_median</t>
        </is>
      </c>
      <c r="C178" s="6" t="inlineStr">
        <is>
          <t>속도 구조(C)</t>
        </is>
      </c>
      <c r="D178" s="6" t="inlineStr">
        <is>
          <t>저속 연속·속도 다양성</t>
        </is>
      </c>
      <c r="E178" s="6" t="inlineStr">
        <is>
          <t>speed_entropy</t>
        </is>
      </c>
      <c r="F178" s="7" t="inlineStr">
        <is>
          <t>속도 구간 분포 엔트로피: 여러 속도를 섞어 쓸수록 큼</t>
        </is>
      </c>
      <c r="G178" s="7" t="inlineStr">
        <is>
          <t>출어일마다 이동 시간대 평균 → 출어일들의 중앙값</t>
        </is>
      </c>
      <c r="H178" s="6" t="inlineStr">
        <is>
          <t>L1→L2→L3</t>
        </is>
      </c>
      <c r="I178" s="6" t="inlineStr">
        <is>
          <t>가설 C</t>
        </is>
      </c>
      <c r="J178" s="6" t="inlineStr"/>
      <c r="K178" s="6" t="inlineStr">
        <is>
          <t>가설 C(속도 구조)</t>
        </is>
      </c>
      <c r="L178" s="6" t="inlineStr">
        <is>
          <t>O</t>
        </is>
      </c>
      <c r="M178" s="6" t="inlineStr">
        <is>
          <t>O</t>
        </is>
      </c>
      <c r="N178" s="6" t="inlineStr"/>
      <c r="O178" s="12" t="n">
        <v>0.8</v>
      </c>
      <c r="P178" s="12" t="n">
        <v>0</v>
      </c>
      <c r="Q178" s="6" t="n">
        <v>211</v>
      </c>
      <c r="R178" s="6" t="n">
        <v>119</v>
      </c>
      <c r="S178" s="6" t="inlineStr">
        <is>
          <t>mv_speed_entropy_mean</t>
        </is>
      </c>
    </row>
    <row r="179">
      <c r="A179" s="6" t="n">
        <v>178</v>
      </c>
      <c r="B179" s="6" t="inlineStr">
        <is>
          <t>mv_n_stays_median</t>
        </is>
      </c>
      <c r="C179" s="6" t="inlineStr">
        <is>
          <t>체류점</t>
        </is>
      </c>
      <c r="D179" s="6" t="inlineStr">
        <is>
          <t>체류점</t>
        </is>
      </c>
      <c r="E179" s="6" t="inlineStr">
        <is>
          <t>n_stays</t>
        </is>
      </c>
      <c r="F179" s="7" t="inlineStr">
        <is>
          <t>체류점 횟수 (반경 30m 안에 3점 이상 머묾)</t>
        </is>
      </c>
      <c r="G179" s="7" t="inlineStr">
        <is>
          <t>출어일마다 이동 시간대 평균 → 출어일들의 중앙값</t>
        </is>
      </c>
      <c r="H179" s="6" t="inlineStr">
        <is>
          <t>L1→L2→L3</t>
        </is>
      </c>
      <c r="I179" s="6" t="inlineStr">
        <is>
          <t>민성</t>
        </is>
      </c>
      <c r="J179" s="6" t="inlineStr"/>
      <c r="K179" s="6" t="inlineStr">
        <is>
          <t>가설 관련</t>
        </is>
      </c>
      <c r="L179" s="6" t="inlineStr">
        <is>
          <t>O</t>
        </is>
      </c>
      <c r="M179" s="6" t="inlineStr">
        <is>
          <t>O</t>
        </is>
      </c>
      <c r="N179" s="6" t="inlineStr"/>
      <c r="O179" s="12" t="n">
        <v>0.8</v>
      </c>
      <c r="P179" s="12" t="n">
        <v>0.2</v>
      </c>
      <c r="Q179" s="6" t="n">
        <v>199</v>
      </c>
      <c r="R179" s="6" t="n">
        <v>74</v>
      </c>
      <c r="S179" s="6" t="inlineStr">
        <is>
          <t>mv_n_stays_mean</t>
        </is>
      </c>
    </row>
    <row r="180">
      <c r="A180" s="6" t="n">
        <v>179</v>
      </c>
      <c r="B180" s="6" t="inlineStr">
        <is>
          <t>mv_stay_frac_median</t>
        </is>
      </c>
      <c r="C180" s="6" t="inlineStr">
        <is>
          <t>체류점</t>
        </is>
      </c>
      <c r="D180" s="6" t="inlineStr">
        <is>
          <t>체류점</t>
        </is>
      </c>
      <c r="E180" s="6" t="inlineStr">
        <is>
          <t>stay_frac</t>
        </is>
      </c>
      <c r="F180" s="7" t="inlineStr">
        <is>
          <t>체류점에 속한 점 비율</t>
        </is>
      </c>
      <c r="G180" s="7" t="inlineStr">
        <is>
          <t>출어일마다 이동 시간대 평균 → 출어일들의 중앙값</t>
        </is>
      </c>
      <c r="H180" s="6" t="inlineStr">
        <is>
          <t>L1→L2→L3</t>
        </is>
      </c>
      <c r="I180" s="6" t="inlineStr">
        <is>
          <t>민성</t>
        </is>
      </c>
      <c r="J180" s="6" t="inlineStr"/>
      <c r="K180" s="6" t="inlineStr">
        <is>
          <t>가설 관련</t>
        </is>
      </c>
      <c r="L180" s="6" t="inlineStr">
        <is>
          <t>O</t>
        </is>
      </c>
      <c r="M180" s="6" t="inlineStr">
        <is>
          <t>O</t>
        </is>
      </c>
      <c r="N180" s="6" t="inlineStr"/>
      <c r="O180" s="12" t="n">
        <v>0.2</v>
      </c>
      <c r="P180" s="12" t="n">
        <v>0</v>
      </c>
      <c r="Q180" s="6" t="n">
        <v>296</v>
      </c>
      <c r="R180" s="6" t="n">
        <v>194</v>
      </c>
      <c r="S180" s="6" t="inlineStr">
        <is>
          <t>mv_stay_frac_mean</t>
        </is>
      </c>
    </row>
    <row r="181">
      <c r="A181" s="6" t="n">
        <v>180</v>
      </c>
      <c r="B181" s="6" t="inlineStr">
        <is>
          <t>mv_spec_entropy_median</t>
        </is>
      </c>
      <c r="C181" s="6" t="inlineStr">
        <is>
          <t>속도 구조(C)</t>
        </is>
      </c>
      <c r="D181" s="6" t="inlineStr">
        <is>
          <t>이동 리듬(스펙트럼)</t>
        </is>
      </c>
      <c r="E181" s="6" t="inlineStr">
        <is>
          <t>spec_entropy</t>
        </is>
      </c>
      <c r="F181" s="7" t="inlineStr">
        <is>
          <t>step 길이 스펙트럼 엔트로피: 이동 리듬의 불규칙성</t>
        </is>
      </c>
      <c r="G181" s="7" t="inlineStr">
        <is>
          <t>출어일마다 이동 시간대 평균 → 출어일들의 중앙값</t>
        </is>
      </c>
      <c r="H181" s="6" t="inlineStr">
        <is>
          <t>L1→L2→L3</t>
        </is>
      </c>
      <c r="I181" s="6" t="inlineStr">
        <is>
          <t>진우</t>
        </is>
      </c>
      <c r="J181" s="6" t="inlineStr"/>
      <c r="K181" s="6" t="inlineStr"/>
      <c r="L181" s="6" t="inlineStr">
        <is>
          <t>O</t>
        </is>
      </c>
      <c r="M181" s="6" t="inlineStr">
        <is>
          <t>O</t>
        </is>
      </c>
      <c r="N181" s="6" t="inlineStr"/>
      <c r="O181" s="12" t="n">
        <v>1</v>
      </c>
      <c r="P181" s="12" t="n">
        <v>0</v>
      </c>
      <c r="Q181" s="6" t="n">
        <v>120</v>
      </c>
      <c r="R181" s="6" t="n">
        <v>311</v>
      </c>
      <c r="S181" s="6" t="inlineStr"/>
    </row>
    <row r="182">
      <c r="A182" s="6" t="n">
        <v>181</v>
      </c>
      <c r="B182" s="6" t="inlineStr">
        <is>
          <t>mv_lowfreq_ratio_median</t>
        </is>
      </c>
      <c r="C182" s="6" t="inlineStr">
        <is>
          <t>속도 구조(C)</t>
        </is>
      </c>
      <c r="D182" s="6" t="inlineStr">
        <is>
          <t>이동 리듬(스펙트럼)</t>
        </is>
      </c>
      <c r="E182" s="6" t="inlineStr">
        <is>
          <t>lowfreq_ratio</t>
        </is>
      </c>
      <c r="F182" s="7" t="inlineStr">
        <is>
          <t>step 저주파 에너지 비율: 느린 주기 변화의 비중</t>
        </is>
      </c>
      <c r="G182" s="7" t="inlineStr">
        <is>
          <t>출어일마다 이동 시간대 평균 → 출어일들의 중앙값</t>
        </is>
      </c>
      <c r="H182" s="6" t="inlineStr">
        <is>
          <t>L1→L2→L3</t>
        </is>
      </c>
      <c r="I182" s="6" t="inlineStr">
        <is>
          <t>진우</t>
        </is>
      </c>
      <c r="J182" s="6" t="inlineStr"/>
      <c r="K182" s="6" t="inlineStr"/>
      <c r="L182" s="6" t="inlineStr">
        <is>
          <t>O</t>
        </is>
      </c>
      <c r="M182" s="6" t="inlineStr">
        <is>
          <t>O</t>
        </is>
      </c>
      <c r="N182" s="6" t="inlineStr"/>
      <c r="O182" s="12" t="n">
        <v>0.4</v>
      </c>
      <c r="P182" s="12" t="n">
        <v>0</v>
      </c>
      <c r="Q182" s="6" t="n">
        <v>260</v>
      </c>
      <c r="R182" s="6" t="n">
        <v>109</v>
      </c>
      <c r="S182" s="6" t="inlineStr">
        <is>
          <t>mv_lowfreq_ratio_mean</t>
        </is>
      </c>
    </row>
    <row r="183">
      <c r="A183" s="6" t="n">
        <v>182</v>
      </c>
      <c r="B183" s="6" t="inlineStr">
        <is>
          <t>mv_step_cv_median</t>
        </is>
      </c>
      <c r="C183" s="6" t="inlineStr">
        <is>
          <t>속도 구조(C)</t>
        </is>
      </c>
      <c r="D183" s="6" t="inlineStr">
        <is>
          <t>점 간 step 크기</t>
        </is>
      </c>
      <c r="E183" s="6" t="inlineStr">
        <is>
          <t>step_cv</t>
        </is>
      </c>
      <c r="F183" s="7" t="inlineStr">
        <is>
          <t>step 변동계수: 이동 크기가 들쭉날쭉한 정도</t>
        </is>
      </c>
      <c r="G183" s="7" t="inlineStr">
        <is>
          <t>출어일마다 이동 시간대 평균 → 출어일들의 중앙값</t>
        </is>
      </c>
      <c r="H183" s="6" t="inlineStr">
        <is>
          <t>L1→L2→L3</t>
        </is>
      </c>
      <c r="I183" s="6" t="inlineStr">
        <is>
          <t>민성</t>
        </is>
      </c>
      <c r="J183" s="6" t="inlineStr"/>
      <c r="K183" s="6" t="inlineStr"/>
      <c r="L183" s="6" t="inlineStr">
        <is>
          <t>O</t>
        </is>
      </c>
      <c r="M183" s="6" t="inlineStr">
        <is>
          <t>O</t>
        </is>
      </c>
      <c r="N183" s="6" t="inlineStr"/>
      <c r="O183" s="12" t="n">
        <v>0.8</v>
      </c>
      <c r="P183" s="12" t="n">
        <v>0</v>
      </c>
      <c r="Q183" s="6" t="n">
        <v>221</v>
      </c>
      <c r="R183" s="6" t="n">
        <v>259</v>
      </c>
      <c r="S183" s="6" t="inlineStr"/>
    </row>
    <row r="184">
      <c r="A184" s="6" t="n">
        <v>183</v>
      </c>
      <c r="B184" s="6" t="inlineStr">
        <is>
          <t>mv_spike_ratio_median</t>
        </is>
      </c>
      <c r="C184" s="6" t="inlineStr">
        <is>
          <t>품질·기록량</t>
        </is>
      </c>
      <c r="D184" s="6" t="inlineStr">
        <is>
          <t>GPS 튐·정제</t>
        </is>
      </c>
      <c r="E184" s="6" t="inlineStr">
        <is>
          <t>spike_ratio</t>
        </is>
      </c>
      <c r="F184" s="7" t="inlineStr">
        <is>
          <t>튐 점 비율</t>
        </is>
      </c>
      <c r="G184" s="7" t="inlineStr">
        <is>
          <t>출어일마다 이동 시간대 평균 → 출어일들의 중앙값</t>
        </is>
      </c>
      <c r="H184" s="6" t="inlineStr">
        <is>
          <t>L1→L2→L3</t>
        </is>
      </c>
      <c r="I184" s="6" t="inlineStr">
        <is>
          <t>나연·지유</t>
        </is>
      </c>
      <c r="J184" s="6" t="inlineStr"/>
      <c r="K184" s="6" t="inlineStr"/>
      <c r="L184" s="6" t="inlineStr">
        <is>
          <t>O</t>
        </is>
      </c>
      <c r="M184" s="6" t="inlineStr">
        <is>
          <t>O</t>
        </is>
      </c>
      <c r="N184" s="6" t="inlineStr"/>
      <c r="O184" s="12" t="n">
        <v>0</v>
      </c>
      <c r="P184" s="12" t="n">
        <v>0</v>
      </c>
      <c r="Q184" s="6" t="n">
        <v>337</v>
      </c>
      <c r="R184" s="6" t="n">
        <v>284</v>
      </c>
      <c r="S184" s="6" t="inlineStr">
        <is>
          <t>mv_raw_clean_ratio_median</t>
        </is>
      </c>
    </row>
    <row r="185">
      <c r="A185" s="6" t="n">
        <v>184</v>
      </c>
      <c r="B185" s="6" t="inlineStr">
        <is>
          <t>mv_raw_clean_ratio_median</t>
        </is>
      </c>
      <c r="C185" s="6" t="inlineStr">
        <is>
          <t>품질·기록량</t>
        </is>
      </c>
      <c r="D185" s="6" t="inlineStr">
        <is>
          <t>GPS 튐·정제</t>
        </is>
      </c>
      <c r="E185" s="6" t="inlineStr">
        <is>
          <t>raw_clean_ratio</t>
        </is>
      </c>
      <c r="F185" s="7" t="inlineStr">
        <is>
          <t>원거리 / 정제거리</t>
        </is>
      </c>
      <c r="G185" s="7" t="inlineStr">
        <is>
          <t>출어일마다 이동 시간대 평균 → 출어일들의 중앙값</t>
        </is>
      </c>
      <c r="H185" s="6" t="inlineStr">
        <is>
          <t>L1→L2→L3</t>
        </is>
      </c>
      <c r="I185" s="6" t="inlineStr">
        <is>
          <t>지유</t>
        </is>
      </c>
      <c r="J185" s="6" t="inlineStr"/>
      <c r="K185" s="6" t="inlineStr"/>
      <c r="L185" s="6" t="inlineStr">
        <is>
          <t>O</t>
        </is>
      </c>
      <c r="M185" s="6" t="inlineStr">
        <is>
          <t>O</t>
        </is>
      </c>
      <c r="N185" s="6" t="inlineStr"/>
      <c r="O185" s="12" t="n">
        <v>1</v>
      </c>
      <c r="P185" s="12" t="n">
        <v>0.4</v>
      </c>
      <c r="Q185" s="6" t="n">
        <v>63</v>
      </c>
      <c r="R185" s="6" t="n">
        <v>32</v>
      </c>
      <c r="S185" s="6" t="inlineStr"/>
    </row>
    <row r="186">
      <c r="A186" s="6" t="n">
        <v>185</v>
      </c>
      <c r="B186" s="6" t="inlineStr">
        <is>
          <t>mv_n_segments_median</t>
        </is>
      </c>
      <c r="C186" s="6" t="inlineStr">
        <is>
          <t>품질·기록량</t>
        </is>
      </c>
      <c r="D186" s="6" t="inlineStr">
        <is>
          <t>기록량</t>
        </is>
      </c>
      <c r="E186" s="6" t="inlineStr">
        <is>
          <t>n_segments</t>
        </is>
      </c>
      <c r="F186" s="7" t="inlineStr">
        <is>
          <t>MultiLineString 구간 수 (신호 끊김+1)</t>
        </is>
      </c>
      <c r="G186" s="7" t="inlineStr">
        <is>
          <t>출어일마다 이동 시간대 평균 → 출어일들의 중앙값</t>
        </is>
      </c>
      <c r="H186" s="6" t="inlineStr">
        <is>
          <t>L1→L2→L3</t>
        </is>
      </c>
      <c r="I186" s="6" t="inlineStr">
        <is>
          <t>지유·나연·진우</t>
        </is>
      </c>
      <c r="J186" s="6" t="inlineStr"/>
      <c r="K186" s="6" t="inlineStr"/>
      <c r="L186" s="6" t="inlineStr">
        <is>
          <t>O</t>
        </is>
      </c>
      <c r="M186" s="6" t="inlineStr">
        <is>
          <t>O</t>
        </is>
      </c>
      <c r="N186" s="6" t="inlineStr"/>
      <c r="O186" s="12" t="n">
        <v>0.8</v>
      </c>
      <c r="P186" s="12" t="n">
        <v>0</v>
      </c>
      <c r="Q186" s="6" t="n">
        <v>218</v>
      </c>
      <c r="R186" s="6" t="n">
        <v>336</v>
      </c>
      <c r="S186" s="6" t="inlineStr">
        <is>
          <t>mv_n_segments_mean</t>
        </is>
      </c>
    </row>
    <row r="187">
      <c r="A187" s="6" t="n">
        <v>186</v>
      </c>
      <c r="B187" s="6" t="inlineStr">
        <is>
          <t>mv_n_points_median</t>
        </is>
      </c>
      <c r="C187" s="6" t="inlineStr">
        <is>
          <t>품질·기록량</t>
        </is>
      </c>
      <c r="D187" s="6" t="inlineStr">
        <is>
          <t>기록량</t>
        </is>
      </c>
      <c r="E187" s="6" t="inlineStr">
        <is>
          <t>n_points</t>
        </is>
      </c>
      <c r="F187" s="7" t="inlineStr">
        <is>
          <t>튐 제거 후 점 수</t>
        </is>
      </c>
      <c r="G187" s="7" t="inlineStr">
        <is>
          <t>출어일마다 이동 시간대 평균 → 출어일들의 중앙값</t>
        </is>
      </c>
      <c r="H187" s="6" t="inlineStr">
        <is>
          <t>L1→L2→L3</t>
        </is>
      </c>
      <c r="I187" s="6" t="inlineStr">
        <is>
          <t>지유·나연·진우</t>
        </is>
      </c>
      <c r="J187" s="6" t="inlineStr"/>
      <c r="K187" s="6" t="inlineStr"/>
      <c r="L187" s="6" t="inlineStr">
        <is>
          <t>O</t>
        </is>
      </c>
      <c r="M187" s="6" t="inlineStr">
        <is>
          <t>O</t>
        </is>
      </c>
      <c r="N187" s="6" t="inlineStr"/>
      <c r="O187" s="12" t="n">
        <v>1</v>
      </c>
      <c r="P187" s="12" t="n">
        <v>0</v>
      </c>
      <c r="Q187" s="6" t="n">
        <v>166</v>
      </c>
      <c r="R187" s="6" t="n">
        <v>256</v>
      </c>
      <c r="S187" s="6" t="inlineStr">
        <is>
          <t>mv_n_points_mean</t>
        </is>
      </c>
    </row>
    <row r="188">
      <c r="A188" s="6" t="n">
        <v>187</v>
      </c>
      <c r="B188" s="6" t="inlineStr">
        <is>
          <t>mv_bin_dispersion_m_median</t>
        </is>
      </c>
      <c r="C188" s="6" t="inlineStr">
        <is>
          <t>품질·기록량</t>
        </is>
      </c>
      <c r="D188" s="6" t="inlineStr">
        <is>
          <t>GPS 튐·정제</t>
        </is>
      </c>
      <c r="E188" s="6" t="inlineStr">
        <is>
          <t>bin_dispersion_m</t>
        </is>
      </c>
      <c r="F188" s="7" t="inlineStr">
        <is>
          <t>10분 구간 내 점 흩어짐(m)</t>
        </is>
      </c>
      <c r="G188" s="7" t="inlineStr">
        <is>
          <t>출어일마다 이동 시간대 평균 → 출어일들의 중앙값</t>
        </is>
      </c>
      <c r="H188" s="6" t="inlineStr">
        <is>
          <t>L1→L2→L3</t>
        </is>
      </c>
      <c r="I188" s="6" t="inlineStr">
        <is>
          <t>나연</t>
        </is>
      </c>
      <c r="J188" s="6" t="inlineStr"/>
      <c r="K188" s="6" t="inlineStr"/>
      <c r="L188" s="6" t="inlineStr">
        <is>
          <t>O</t>
        </is>
      </c>
      <c r="M188" s="6" t="inlineStr">
        <is>
          <t>O</t>
        </is>
      </c>
      <c r="N188" s="6" t="inlineStr"/>
      <c r="O188" s="12" t="n">
        <v>1</v>
      </c>
      <c r="P188" s="12" t="n">
        <v>0</v>
      </c>
      <c r="Q188" s="6" t="n">
        <v>173</v>
      </c>
      <c r="R188" s="6" t="n">
        <v>342</v>
      </c>
      <c r="S188" s="6" t="inlineStr">
        <is>
          <t>mv_bin_dispersion_m_mean</t>
        </is>
      </c>
    </row>
    <row r="189">
      <c r="A189" s="6" t="n">
        <v>188</v>
      </c>
      <c r="B189" s="6" t="inlineStr">
        <is>
          <t>n_hours_std</t>
        </is>
      </c>
      <c r="C189" s="6" t="inlineStr">
        <is>
          <t>시간 사용·항차</t>
        </is>
      </c>
      <c r="D189" s="6" t="inlineStr">
        <is>
          <t>출어 활동량</t>
        </is>
      </c>
      <c r="E189" s="6" t="inlineStr">
        <is>
          <t>n_hours</t>
        </is>
      </c>
      <c r="F189" s="7" t="inlineStr">
        <is>
          <t>하루 기록 시간대 수</t>
        </is>
      </c>
      <c r="G189" s="7" t="inlineStr">
        <is>
          <t>출어일 값들의 표준편차(날짜 간 변동)</t>
        </is>
      </c>
      <c r="H189" s="6" t="inlineStr">
        <is>
          <t>L2→L3</t>
        </is>
      </c>
      <c r="I189" s="6" t="inlineStr">
        <is>
          <t>나연·민성</t>
        </is>
      </c>
      <c r="J189" s="6" t="inlineStr"/>
      <c r="K189" s="6" t="inlineStr">
        <is>
          <t>가설 G(이질성: 날짜 간 표준편차)</t>
        </is>
      </c>
      <c r="L189" s="6" t="inlineStr">
        <is>
          <t>O</t>
        </is>
      </c>
      <c r="M189" s="6" t="inlineStr">
        <is>
          <t>O</t>
        </is>
      </c>
      <c r="N189" s="6" t="inlineStr"/>
      <c r="O189" s="12" t="n">
        <v>1</v>
      </c>
      <c r="P189" s="12" t="n">
        <v>0</v>
      </c>
      <c r="Q189" s="6" t="n">
        <v>134</v>
      </c>
      <c r="R189" s="6" t="n">
        <v>236</v>
      </c>
      <c r="S189" s="6" t="inlineStr"/>
    </row>
    <row r="190">
      <c r="A190" s="6" t="n">
        <v>189</v>
      </c>
      <c r="B190" s="6" t="inlineStr">
        <is>
          <t>n_moving_hours_std</t>
        </is>
      </c>
      <c r="C190" s="6" t="inlineStr">
        <is>
          <t>시간 사용·항차</t>
        </is>
      </c>
      <c r="D190" s="6" t="inlineStr">
        <is>
          <t>출어 활동량</t>
        </is>
      </c>
      <c r="E190" s="6" t="inlineStr">
        <is>
          <t>n_moving_hours</t>
        </is>
      </c>
      <c r="F190" s="7" t="inlineStr">
        <is>
          <t>이동 시간대 수</t>
        </is>
      </c>
      <c r="G190" s="7" t="inlineStr">
        <is>
          <t>출어일 값들의 표준편차(날짜 간 변동)</t>
        </is>
      </c>
      <c r="H190" s="6" t="inlineStr">
        <is>
          <t>L2→L3</t>
        </is>
      </c>
      <c r="I190" s="6" t="inlineStr">
        <is>
          <t>나연</t>
        </is>
      </c>
      <c r="J190" s="6" t="inlineStr"/>
      <c r="K190" s="6" t="inlineStr">
        <is>
          <t>가설 G(이질성: 날짜 간 표준편차)</t>
        </is>
      </c>
      <c r="L190" s="6" t="inlineStr">
        <is>
          <t>O</t>
        </is>
      </c>
      <c r="M190" s="6" t="inlineStr">
        <is>
          <t>O</t>
        </is>
      </c>
      <c r="N190" s="6" t="inlineStr"/>
      <c r="O190" s="12" t="n">
        <v>0.8</v>
      </c>
      <c r="P190" s="12" t="n">
        <v>0</v>
      </c>
      <c r="Q190" s="6" t="n">
        <v>197</v>
      </c>
      <c r="R190" s="6" t="n">
        <v>110</v>
      </c>
      <c r="S190" s="6" t="inlineStr">
        <is>
          <t>n_moving_hours_p90</t>
        </is>
      </c>
    </row>
    <row r="191">
      <c r="A191" s="6" t="n">
        <v>190</v>
      </c>
      <c r="B191" s="6" t="inlineStr">
        <is>
          <t>moving_ratio_std</t>
        </is>
      </c>
      <c r="C191" s="6" t="inlineStr">
        <is>
          <t>시간 사용·항차</t>
        </is>
      </c>
      <c r="D191" s="6" t="inlineStr">
        <is>
          <t>출어 활동량</t>
        </is>
      </c>
      <c r="E191" s="6" t="inlineStr">
        <is>
          <t>moving_ratio</t>
        </is>
      </c>
      <c r="F191" s="7" t="inlineStr">
        <is>
          <t>이동 시간대 비율</t>
        </is>
      </c>
      <c r="G191" s="7" t="inlineStr">
        <is>
          <t>출어일 값들의 표준편차(날짜 간 변동)</t>
        </is>
      </c>
      <c r="H191" s="6" t="inlineStr">
        <is>
          <t>L2→L3</t>
        </is>
      </c>
      <c r="I191" s="6" t="inlineStr">
        <is>
          <t>나연</t>
        </is>
      </c>
      <c r="J191" s="6" t="inlineStr"/>
      <c r="K191" s="6" t="inlineStr">
        <is>
          <t>가설 G(이질성: 날짜 간 표준편차)</t>
        </is>
      </c>
      <c r="L191" s="6" t="inlineStr">
        <is>
          <t>O</t>
        </is>
      </c>
      <c r="M191" s="6" t="inlineStr">
        <is>
          <t>O</t>
        </is>
      </c>
      <c r="N191" s="6" t="inlineStr"/>
      <c r="O191" s="12" t="n">
        <v>1</v>
      </c>
      <c r="P191" s="12" t="n">
        <v>0</v>
      </c>
      <c r="Q191" s="6" t="n">
        <v>184</v>
      </c>
      <c r="R191" s="6" t="n">
        <v>171</v>
      </c>
      <c r="S191" s="6" t="inlineStr"/>
    </row>
    <row r="192">
      <c r="A192" s="6" t="n">
        <v>191</v>
      </c>
      <c r="B192" s="6" t="inlineStr">
        <is>
          <t>active_span_h_std</t>
        </is>
      </c>
      <c r="C192" s="6" t="inlineStr">
        <is>
          <t>하루 리듬·시각(E)</t>
        </is>
      </c>
      <c r="D192" s="6" t="inlineStr">
        <is>
          <t>조업 시간 폭</t>
        </is>
      </c>
      <c r="E192" s="6" t="inlineStr">
        <is>
          <t>active_span_h</t>
        </is>
      </c>
      <c r="F192" s="7" t="inlineStr">
        <is>
          <t>첫~마지막 기록 시간 폭</t>
        </is>
      </c>
      <c r="G192" s="7" t="inlineStr">
        <is>
          <t>출어일 값들의 표준편차(날짜 간 변동)</t>
        </is>
      </c>
      <c r="H192" s="6" t="inlineStr">
        <is>
          <t>L2→L3</t>
        </is>
      </c>
      <c r="I192" s="6" t="inlineStr">
        <is>
          <t>나연</t>
        </is>
      </c>
      <c r="J192" s="6" t="inlineStr"/>
      <c r="K192" s="6" t="inlineStr">
        <is>
          <t>가설 E(하루 리듬)</t>
        </is>
      </c>
      <c r="L192" s="6" t="inlineStr">
        <is>
          <t>O</t>
        </is>
      </c>
      <c r="M192" s="6" t="inlineStr">
        <is>
          <t>O</t>
        </is>
      </c>
      <c r="N192" s="6" t="inlineStr"/>
      <c r="O192" s="12" t="n">
        <v>1</v>
      </c>
      <c r="P192" s="12" t="n">
        <v>0</v>
      </c>
      <c r="Q192" s="6" t="n">
        <v>161</v>
      </c>
      <c r="R192" s="6" t="n">
        <v>206</v>
      </c>
      <c r="S192" s="6" t="inlineStr"/>
    </row>
    <row r="193">
      <c r="A193" s="6" t="n">
        <v>192</v>
      </c>
      <c r="B193" s="6" t="inlineStr">
        <is>
          <t>first_hour_std</t>
        </is>
      </c>
      <c r="C193" s="6" t="inlineStr">
        <is>
          <t>하루 리듬·시각(E)</t>
        </is>
      </c>
      <c r="D193" s="6" t="inlineStr">
        <is>
          <t>시작·종료 시각</t>
        </is>
      </c>
      <c r="E193" s="6" t="inlineStr">
        <is>
          <t>first_hour</t>
        </is>
      </c>
      <c r="F193" s="7" t="inlineStr">
        <is>
          <t>첫 기록 시각</t>
        </is>
      </c>
      <c r="G193" s="7" t="inlineStr">
        <is>
          <t>출어일 값들의 표준편차(날짜 간 변동)</t>
        </is>
      </c>
      <c r="H193" s="6" t="inlineStr">
        <is>
          <t>L2→L3</t>
        </is>
      </c>
      <c r="I193" s="6" t="inlineStr">
        <is>
          <t>민성·지유</t>
        </is>
      </c>
      <c r="J193" s="6" t="inlineStr"/>
      <c r="K193" s="6" t="inlineStr">
        <is>
          <t>가설 E(하루 리듬)</t>
        </is>
      </c>
      <c r="L193" s="6" t="inlineStr">
        <is>
          <t>O</t>
        </is>
      </c>
      <c r="M193" s="6" t="inlineStr">
        <is>
          <t>O</t>
        </is>
      </c>
      <c r="N193" s="6" t="inlineStr"/>
      <c r="O193" s="12" t="n">
        <v>1</v>
      </c>
      <c r="P193" s="12" t="n">
        <v>0.2</v>
      </c>
      <c r="Q193" s="6" t="n">
        <v>128</v>
      </c>
      <c r="R193" s="6" t="n">
        <v>70</v>
      </c>
      <c r="S193" s="6" t="inlineStr"/>
    </row>
    <row r="194">
      <c r="A194" s="6" t="n">
        <v>193</v>
      </c>
      <c r="B194" s="6" t="inlineStr">
        <is>
          <t>last_hour_std</t>
        </is>
      </c>
      <c r="C194" s="6" t="inlineStr">
        <is>
          <t>하루 리듬·시각(E)</t>
        </is>
      </c>
      <c r="D194" s="6" t="inlineStr">
        <is>
          <t>시작·종료 시각</t>
        </is>
      </c>
      <c r="E194" s="6" t="inlineStr">
        <is>
          <t>last_hour</t>
        </is>
      </c>
      <c r="F194" s="7" t="inlineStr">
        <is>
          <t>마지막 기록 시각</t>
        </is>
      </c>
      <c r="G194" s="7" t="inlineStr">
        <is>
          <t>출어일 값들의 표준편차(날짜 간 변동)</t>
        </is>
      </c>
      <c r="H194" s="6" t="inlineStr">
        <is>
          <t>L2→L3</t>
        </is>
      </c>
      <c r="I194" s="6" t="inlineStr">
        <is>
          <t>민성·지유</t>
        </is>
      </c>
      <c r="J194" s="6" t="inlineStr"/>
      <c r="K194" s="6" t="inlineStr">
        <is>
          <t>가설 E(하루 리듬)</t>
        </is>
      </c>
      <c r="L194" s="6" t="inlineStr">
        <is>
          <t>O</t>
        </is>
      </c>
      <c r="M194" s="6" t="inlineStr">
        <is>
          <t>O</t>
        </is>
      </c>
      <c r="N194" s="6" t="inlineStr"/>
      <c r="O194" s="12" t="n">
        <v>1</v>
      </c>
      <c r="P194" s="12" t="n">
        <v>0</v>
      </c>
      <c r="Q194" s="6" t="n">
        <v>129</v>
      </c>
      <c r="R194" s="6" t="n">
        <v>107</v>
      </c>
      <c r="S194" s="6" t="inlineStr"/>
    </row>
    <row r="195">
      <c r="A195" s="13" t="n">
        <v>194</v>
      </c>
      <c r="B195" s="13" t="inlineStr">
        <is>
          <t>dist_day_km_std</t>
        </is>
      </c>
      <c r="C195" s="13" t="inlineStr">
        <is>
          <t>이동량·공간범위</t>
        </is>
      </c>
      <c r="D195" s="13" t="inlineStr">
        <is>
          <t>이동거리</t>
        </is>
      </c>
      <c r="E195" s="13" t="inlineStr">
        <is>
          <t>dist_day_km</t>
        </is>
      </c>
      <c r="F195" s="14" t="inlineStr">
        <is>
          <t>하루 평활 이동거리(km)</t>
        </is>
      </c>
      <c r="G195" s="14" t="inlineStr">
        <is>
          <t>출어일 값들의 표준편차(날짜 간 변동)</t>
        </is>
      </c>
      <c r="H195" s="13" t="inlineStr">
        <is>
          <t>L2→L3</t>
        </is>
      </c>
      <c r="I195" s="13" t="inlineStr">
        <is>
          <t>나연·지유</t>
        </is>
      </c>
      <c r="J195" s="13" t="inlineStr"/>
      <c r="K195" s="13" t="inlineStr">
        <is>
          <t>가설 G(이질성: 날짜 간 표준편차)</t>
        </is>
      </c>
      <c r="L195" s="13" t="inlineStr">
        <is>
          <t>O</t>
        </is>
      </c>
      <c r="M195" s="13" t="inlineStr">
        <is>
          <t>O</t>
        </is>
      </c>
      <c r="N195" s="13" t="inlineStr">
        <is>
          <t>O</t>
        </is>
      </c>
      <c r="O195" s="15" t="n">
        <v>0.6</v>
      </c>
      <c r="P195" s="15" t="n">
        <v>0.4</v>
      </c>
      <c r="Q195" s="13" t="n">
        <v>228</v>
      </c>
      <c r="R195" s="13" t="n">
        <v>23</v>
      </c>
      <c r="S195" s="13" t="inlineStr">
        <is>
          <t>dist_day_km_p90</t>
        </is>
      </c>
    </row>
    <row r="196">
      <c r="A196" s="6" t="n">
        <v>195</v>
      </c>
      <c r="B196" s="6" t="inlineStr">
        <is>
          <t>jump_share_day_std</t>
        </is>
      </c>
      <c r="C196" s="6" t="inlineStr">
        <is>
          <t>품질·기록량</t>
        </is>
      </c>
      <c r="D196" s="6" t="inlineStr">
        <is>
          <t>GPS 튐·정제</t>
        </is>
      </c>
      <c r="E196" s="6" t="inlineStr">
        <is>
          <t>jump_share_day</t>
        </is>
      </c>
      <c r="F196" s="7" t="inlineStr">
        <is>
          <t>튐 비중 = 1 − 평활/원거리</t>
        </is>
      </c>
      <c r="G196" s="7" t="inlineStr">
        <is>
          <t>출어일 값들의 표준편차(날짜 간 변동)</t>
        </is>
      </c>
      <c r="H196" s="6" t="inlineStr">
        <is>
          <t>L2→L3</t>
        </is>
      </c>
      <c r="I196" s="6" t="inlineStr">
        <is>
          <t>나연</t>
        </is>
      </c>
      <c r="J196" s="6" t="inlineStr"/>
      <c r="K196" s="6" t="inlineStr">
        <is>
          <t>가설 G(이질성: 날짜 간 표준편차)</t>
        </is>
      </c>
      <c r="L196" s="6" t="inlineStr">
        <is>
          <t>O</t>
        </is>
      </c>
      <c r="M196" s="6" t="inlineStr">
        <is>
          <t>O</t>
        </is>
      </c>
      <c r="N196" s="6" t="inlineStr"/>
      <c r="O196" s="12" t="n">
        <v>1</v>
      </c>
      <c r="P196" s="12" t="n">
        <v>0</v>
      </c>
      <c r="Q196" s="6" t="n">
        <v>42</v>
      </c>
      <c r="R196" s="6" t="n">
        <v>235</v>
      </c>
      <c r="S196" s="6" t="inlineStr"/>
    </row>
    <row r="197">
      <c r="A197" s="6" t="n">
        <v>196</v>
      </c>
      <c r="B197" s="6" t="inlineStr">
        <is>
          <t>day_net_disp_km_std</t>
        </is>
      </c>
      <c r="C197" s="6" t="inlineStr">
        <is>
          <t>이동량·공간범위</t>
        </is>
      </c>
      <c r="D197" s="6" t="inlineStr">
        <is>
          <t>변위·이격</t>
        </is>
      </c>
      <c r="E197" s="6" t="inlineStr">
        <is>
          <t>day_net_disp_km</t>
        </is>
      </c>
      <c r="F197" s="7" t="inlineStr">
        <is>
          <t>하루 시작→끝 변위(km)</t>
        </is>
      </c>
      <c r="G197" s="7" t="inlineStr">
        <is>
          <t>출어일 값들의 표준편차(날짜 간 변동)</t>
        </is>
      </c>
      <c r="H197" s="6" t="inlineStr">
        <is>
          <t>L2→L3</t>
        </is>
      </c>
      <c r="I197" s="6" t="inlineStr">
        <is>
          <t>나연</t>
        </is>
      </c>
      <c r="J197" s="6" t="inlineStr"/>
      <c r="K197" s="6" t="inlineStr">
        <is>
          <t>가설 G(이질성: 날짜 간 표준편차)</t>
        </is>
      </c>
      <c r="L197" s="6" t="inlineStr">
        <is>
          <t>O</t>
        </is>
      </c>
      <c r="M197" s="6" t="inlineStr">
        <is>
          <t>O</t>
        </is>
      </c>
      <c r="N197" s="6" t="inlineStr"/>
      <c r="O197" s="12" t="n">
        <v>1</v>
      </c>
      <c r="P197" s="12" t="n">
        <v>0</v>
      </c>
      <c r="Q197" s="6" t="n">
        <v>75</v>
      </c>
      <c r="R197" s="6" t="n">
        <v>155</v>
      </c>
      <c r="S197" s="6" t="inlineStr"/>
    </row>
    <row r="198">
      <c r="A198" s="6" t="n">
        <v>197</v>
      </c>
      <c r="B198" s="6" t="inlineStr">
        <is>
          <t>day_straightness_std</t>
        </is>
      </c>
      <c r="C198" s="6" t="inlineStr">
        <is>
          <t>경로형태·직선투망(B)</t>
        </is>
      </c>
      <c r="D198" s="6" t="inlineStr">
        <is>
          <t>직진도·구불거림</t>
        </is>
      </c>
      <c r="E198" s="6" t="inlineStr">
        <is>
          <t>day_straightness</t>
        </is>
      </c>
      <c r="F198" s="7" t="inlineStr">
        <is>
          <t>하루 직진도 = 변위/거리</t>
        </is>
      </c>
      <c r="G198" s="7" t="inlineStr">
        <is>
          <t>출어일 값들의 표준편차(날짜 간 변동)</t>
        </is>
      </c>
      <c r="H198" s="6" t="inlineStr">
        <is>
          <t>L2→L3</t>
        </is>
      </c>
      <c r="I198" s="6" t="inlineStr">
        <is>
          <t>가설 B</t>
        </is>
      </c>
      <c r="J198" s="6" t="inlineStr"/>
      <c r="K198" s="6" t="inlineStr">
        <is>
          <t>가설 B(직선 투망)</t>
        </is>
      </c>
      <c r="L198" s="6" t="inlineStr">
        <is>
          <t>O</t>
        </is>
      </c>
      <c r="M198" s="6" t="inlineStr">
        <is>
          <t>O</t>
        </is>
      </c>
      <c r="N198" s="6" t="inlineStr"/>
      <c r="O198" s="12" t="n">
        <v>1</v>
      </c>
      <c r="P198" s="12" t="n">
        <v>0</v>
      </c>
      <c r="Q198" s="6" t="n">
        <v>146</v>
      </c>
      <c r="R198" s="6" t="n">
        <v>172</v>
      </c>
      <c r="S198" s="6" t="inlineStr"/>
    </row>
    <row r="199">
      <c r="A199" s="6" t="n">
        <v>198</v>
      </c>
      <c r="B199" s="6" t="inlineStr">
        <is>
          <t>day_rg_km_std</t>
        </is>
      </c>
      <c r="C199" s="6" t="inlineStr">
        <is>
          <t>이동량·공간범위</t>
        </is>
      </c>
      <c r="D199" s="6" t="inlineStr">
        <is>
          <t>활동 범위(하루)</t>
        </is>
      </c>
      <c r="E199" s="6" t="inlineStr">
        <is>
          <t>day_rg_km</t>
        </is>
      </c>
      <c r="F199" s="7" t="inlineStr">
        <is>
          <t>시간대 중심들의 퍼짐(km)</t>
        </is>
      </c>
      <c r="G199" s="7" t="inlineStr">
        <is>
          <t>출어일 값들의 표준편차(날짜 간 변동)</t>
        </is>
      </c>
      <c r="H199" s="6" t="inlineStr">
        <is>
          <t>L2→L3</t>
        </is>
      </c>
      <c r="I199" s="6" t="inlineStr">
        <is>
          <t>나연</t>
        </is>
      </c>
      <c r="J199" s="6" t="inlineStr"/>
      <c r="K199" s="6" t="inlineStr">
        <is>
          <t>가설 G(이질성: 날짜 간 표준편차)</t>
        </is>
      </c>
      <c r="L199" s="6" t="inlineStr">
        <is>
          <t>O</t>
        </is>
      </c>
      <c r="M199" s="6" t="inlineStr">
        <is>
          <t>O</t>
        </is>
      </c>
      <c r="N199" s="6" t="inlineStr"/>
      <c r="O199" s="12" t="n">
        <v>0.8</v>
      </c>
      <c r="P199" s="12" t="n">
        <v>0</v>
      </c>
      <c r="Q199" s="6" t="n">
        <v>209</v>
      </c>
      <c r="R199" s="6" t="n">
        <v>137</v>
      </c>
      <c r="S199" s="6" t="inlineStr">
        <is>
          <t>day_bbox_diag_km_std</t>
        </is>
      </c>
    </row>
    <row r="200">
      <c r="A200" s="6" t="n">
        <v>199</v>
      </c>
      <c r="B200" s="6" t="inlineStr">
        <is>
          <t>day_bbox_diag_km_std</t>
        </is>
      </c>
      <c r="C200" s="6" t="inlineStr">
        <is>
          <t>이동량·공간범위</t>
        </is>
      </c>
      <c r="D200" s="6" t="inlineStr">
        <is>
          <t>활동 범위(하루)</t>
        </is>
      </c>
      <c r="E200" s="6" t="inlineStr">
        <is>
          <t>day_bbox_diag_km</t>
        </is>
      </c>
      <c r="F200" s="7" t="inlineStr">
        <is>
          <t>하루 활동범위 대각선(km)</t>
        </is>
      </c>
      <c r="G200" s="7" t="inlineStr">
        <is>
          <t>출어일 값들의 표준편차(날짜 간 변동)</t>
        </is>
      </c>
      <c r="H200" s="6" t="inlineStr">
        <is>
          <t>L2→L3</t>
        </is>
      </c>
      <c r="I200" s="6" t="inlineStr">
        <is>
          <t>나연</t>
        </is>
      </c>
      <c r="J200" s="6" t="inlineStr"/>
      <c r="K200" s="6" t="inlineStr">
        <is>
          <t>가설 G(이질성: 날짜 간 표준편차)</t>
        </is>
      </c>
      <c r="L200" s="6" t="inlineStr">
        <is>
          <t>O</t>
        </is>
      </c>
      <c r="M200" s="6" t="inlineStr">
        <is>
          <t>O</t>
        </is>
      </c>
      <c r="N200" s="6" t="inlineStr"/>
      <c r="O200" s="12" t="n">
        <v>0.2</v>
      </c>
      <c r="P200" s="12" t="n">
        <v>0.2</v>
      </c>
      <c r="Q200" s="6" t="n">
        <v>279</v>
      </c>
      <c r="R200" s="6" t="n">
        <v>77</v>
      </c>
      <c r="S200" s="6" t="inlineStr">
        <is>
          <t>day_rg_km_std</t>
        </is>
      </c>
    </row>
    <row r="201">
      <c r="A201" s="6" t="n">
        <v>200</v>
      </c>
      <c r="B201" s="6" t="inlineStr">
        <is>
          <t>day_range_q95_km_std</t>
        </is>
      </c>
      <c r="C201" s="6" t="inlineStr">
        <is>
          <t>이동량·공간범위</t>
        </is>
      </c>
      <c r="D201" s="6" t="inlineStr">
        <is>
          <t>변위·이격</t>
        </is>
      </c>
      <c r="E201" s="6" t="inlineStr">
        <is>
          <t>day_range_q95_km</t>
        </is>
      </c>
      <c r="F201" s="7" t="inlineStr">
        <is>
          <t>첫 위치에서 95% 분위 이격(km, 지터 강건 day_range)</t>
        </is>
      </c>
      <c r="G201" s="7" t="inlineStr">
        <is>
          <t>출어일 값들의 표준편차(날짜 간 변동)</t>
        </is>
      </c>
      <c r="H201" s="6" t="inlineStr">
        <is>
          <t>L2→L3</t>
        </is>
      </c>
      <c r="I201" s="6" t="inlineStr">
        <is>
          <t>민성</t>
        </is>
      </c>
      <c r="J201" s="6" t="inlineStr"/>
      <c r="K201" s="6" t="inlineStr">
        <is>
          <t>가설 G(이질성: 날짜 간 표준편차)</t>
        </is>
      </c>
      <c r="L201" s="6" t="inlineStr">
        <is>
          <t>O</t>
        </is>
      </c>
      <c r="M201" s="6" t="inlineStr">
        <is>
          <t>O</t>
        </is>
      </c>
      <c r="N201" s="6" t="inlineStr"/>
      <c r="O201" s="12" t="n">
        <v>0</v>
      </c>
      <c r="P201" s="12" t="n">
        <v>0</v>
      </c>
      <c r="Q201" s="6" t="n">
        <v>320</v>
      </c>
      <c r="R201" s="6" t="n">
        <v>223</v>
      </c>
      <c r="S201" s="6" t="inlineStr">
        <is>
          <t>day_rg_km_std</t>
        </is>
      </c>
    </row>
    <row r="202">
      <c r="A202" s="6" t="n">
        <v>201</v>
      </c>
      <c r="B202" s="6" t="inlineStr">
        <is>
          <t>home_km_max_std</t>
        </is>
      </c>
      <c r="C202" s="6" t="inlineStr">
        <is>
          <t>이동량·공간범위</t>
        </is>
      </c>
      <c r="D202" s="6" t="inlineStr">
        <is>
          <t>모항·항구 거리</t>
        </is>
      </c>
      <c r="E202" s="6" t="inlineStr">
        <is>
          <t>home_km_max</t>
        </is>
      </c>
      <c r="F202" s="7" t="inlineStr">
        <is>
          <t>모항에서 최대 거리(km)</t>
        </is>
      </c>
      <c r="G202" s="7" t="inlineStr">
        <is>
          <t>출어일 값들의 표준편차(날짜 간 변동)</t>
        </is>
      </c>
      <c r="H202" s="6" t="inlineStr">
        <is>
          <t>L2→L3</t>
        </is>
      </c>
      <c r="I202" s="6" t="inlineStr">
        <is>
          <t>민성·나연</t>
        </is>
      </c>
      <c r="J202" s="6" t="inlineStr"/>
      <c r="K202" s="6" t="inlineStr">
        <is>
          <t>가설 G(이질성: 날짜 간 표준편차)</t>
        </is>
      </c>
      <c r="L202" s="6" t="inlineStr">
        <is>
          <t>O</t>
        </is>
      </c>
      <c r="M202" s="6" t="inlineStr">
        <is>
          <t>O</t>
        </is>
      </c>
      <c r="N202" s="6" t="inlineStr"/>
      <c r="O202" s="12" t="n">
        <v>0.8</v>
      </c>
      <c r="P202" s="12" t="n">
        <v>0</v>
      </c>
      <c r="Q202" s="6" t="n">
        <v>201</v>
      </c>
      <c r="R202" s="6" t="n">
        <v>92</v>
      </c>
      <c r="S202" s="6" t="inlineStr"/>
    </row>
    <row r="203">
      <c r="A203" s="6" t="n">
        <v>202</v>
      </c>
      <c r="B203" s="6" t="inlineStr">
        <is>
          <t>home_km_mean_std</t>
        </is>
      </c>
      <c r="C203" s="6" t="inlineStr">
        <is>
          <t>이동량·공간범위</t>
        </is>
      </c>
      <c r="D203" s="6" t="inlineStr">
        <is>
          <t>모항·항구 거리</t>
        </is>
      </c>
      <c r="E203" s="6" t="inlineStr">
        <is>
          <t>home_km_mean</t>
        </is>
      </c>
      <c r="F203" s="7" t="inlineStr">
        <is>
          <t>모항에서 평균 거리(km)</t>
        </is>
      </c>
      <c r="G203" s="7" t="inlineStr">
        <is>
          <t>출어일 값들의 표준편차(날짜 간 변동)</t>
        </is>
      </c>
      <c r="H203" s="6" t="inlineStr">
        <is>
          <t>L2→L3</t>
        </is>
      </c>
      <c r="I203" s="6" t="inlineStr">
        <is>
          <t>나연</t>
        </is>
      </c>
      <c r="J203" s="6" t="inlineStr"/>
      <c r="K203" s="6" t="inlineStr">
        <is>
          <t>가설 G(이질성: 날짜 간 표준편차)</t>
        </is>
      </c>
      <c r="L203" s="6" t="inlineStr">
        <is>
          <t>O</t>
        </is>
      </c>
      <c r="M203" s="6" t="inlineStr">
        <is>
          <t>O</t>
        </is>
      </c>
      <c r="N203" s="6" t="inlineStr"/>
      <c r="O203" s="12" t="n">
        <v>1</v>
      </c>
      <c r="P203" s="12" t="n">
        <v>0.2</v>
      </c>
      <c r="Q203" s="6" t="n">
        <v>34</v>
      </c>
      <c r="R203" s="6" t="n">
        <v>57</v>
      </c>
      <c r="S203" s="6" t="inlineStr"/>
    </row>
    <row r="204">
      <c r="A204" s="6" t="n">
        <v>203</v>
      </c>
      <c r="B204" s="6" t="inlineStr">
        <is>
          <t>in_port_ratio_std</t>
        </is>
      </c>
      <c r="C204" s="6" t="inlineStr">
        <is>
          <t>시간 사용·항차</t>
        </is>
      </c>
      <c r="D204" s="6" t="inlineStr">
        <is>
          <t>상태별 시간 비율</t>
        </is>
      </c>
      <c r="E204" s="6" t="inlineStr">
        <is>
          <t>in_port_ratio</t>
        </is>
      </c>
      <c r="F204" s="7" t="inlineStr">
        <is>
          <t>항구 정박 시간 비율</t>
        </is>
      </c>
      <c r="G204" s="7" t="inlineStr">
        <is>
          <t>출어일 값들의 표준편차(날짜 간 변동)</t>
        </is>
      </c>
      <c r="H204" s="6" t="inlineStr">
        <is>
          <t>L2→L3</t>
        </is>
      </c>
      <c r="I204" s="6" t="inlineStr">
        <is>
          <t>나연·민성</t>
        </is>
      </c>
      <c r="J204" s="6" t="inlineStr"/>
      <c r="K204" s="6" t="inlineStr">
        <is>
          <t>가설 G(이질성: 날짜 간 표준편차)</t>
        </is>
      </c>
      <c r="L204" s="6" t="inlineStr">
        <is>
          <t>O</t>
        </is>
      </c>
      <c r="M204" s="6" t="inlineStr">
        <is>
          <t>O</t>
        </is>
      </c>
      <c r="N204" s="6" t="inlineStr"/>
      <c r="O204" s="12" t="n">
        <v>1</v>
      </c>
      <c r="P204" s="12" t="n">
        <v>0</v>
      </c>
      <c r="Q204" s="6" t="n">
        <v>91</v>
      </c>
      <c r="R204" s="6" t="n">
        <v>234</v>
      </c>
      <c r="S204" s="6" t="inlineStr"/>
    </row>
    <row r="205">
      <c r="A205" s="6" t="n">
        <v>204</v>
      </c>
      <c r="B205" s="6" t="inlineStr">
        <is>
          <t>sea_stop_share_std</t>
        </is>
      </c>
      <c r="C205" s="6" t="inlineStr">
        <is>
          <t>시간 사용·항차</t>
        </is>
      </c>
      <c r="D205" s="6" t="inlineStr">
        <is>
          <t>상태별 시간 비율</t>
        </is>
      </c>
      <c r="E205" s="6" t="inlineStr">
        <is>
          <t>sea_stop_share</t>
        </is>
      </c>
      <c r="F205" s="7" t="inlineStr">
        <is>
          <t>해상 정지 시간 비율</t>
        </is>
      </c>
      <c r="G205" s="7" t="inlineStr">
        <is>
          <t>출어일 값들의 표준편차(날짜 간 변동)</t>
        </is>
      </c>
      <c r="H205" s="6" t="inlineStr">
        <is>
          <t>L2→L3</t>
        </is>
      </c>
      <c r="I205" s="6" t="inlineStr">
        <is>
          <t>민성</t>
        </is>
      </c>
      <c r="J205" s="6" t="inlineStr"/>
      <c r="K205" s="6" t="inlineStr">
        <is>
          <t>가설 G(이질성: 날짜 간 표준편차)</t>
        </is>
      </c>
      <c r="L205" s="6" t="inlineStr">
        <is>
          <t>O</t>
        </is>
      </c>
      <c r="M205" s="6" t="inlineStr">
        <is>
          <t>O</t>
        </is>
      </c>
      <c r="N205" s="6" t="inlineStr"/>
      <c r="O205" s="12" t="n">
        <v>1</v>
      </c>
      <c r="P205" s="12" t="n">
        <v>0.2</v>
      </c>
      <c r="Q205" s="6" t="n">
        <v>46</v>
      </c>
      <c r="R205" s="6" t="n">
        <v>66</v>
      </c>
      <c r="S205" s="6" t="inlineStr"/>
    </row>
    <row r="206">
      <c r="A206" s="6" t="n">
        <v>205</v>
      </c>
      <c r="B206" s="6" t="inlineStr">
        <is>
          <t>drift_share_std</t>
        </is>
      </c>
      <c r="C206" s="6" t="inlineStr">
        <is>
          <t>시간 사용·항차</t>
        </is>
      </c>
      <c r="D206" s="6" t="inlineStr">
        <is>
          <t>상태별 시간 비율</t>
        </is>
      </c>
      <c r="E206" s="6" t="inlineStr">
        <is>
          <t>drift_share</t>
        </is>
      </c>
      <c r="F206" s="7" t="inlineStr">
        <is>
          <t>표류(0.3~2kn) 시간 비율 (전체 기간)</t>
        </is>
      </c>
      <c r="G206" s="7" t="inlineStr">
        <is>
          <t>출어일 값들의 표준편차(날짜 간 변동)</t>
        </is>
      </c>
      <c r="H206" s="6" t="inlineStr">
        <is>
          <t>L2→L3</t>
        </is>
      </c>
      <c r="I206" s="6" t="inlineStr">
        <is>
          <t>민성</t>
        </is>
      </c>
      <c r="J206" s="6" t="inlineStr"/>
      <c r="K206" s="6" t="inlineStr">
        <is>
          <t>가설 G(이질성: 날짜 간 표준편차)</t>
        </is>
      </c>
      <c r="L206" s="6" t="inlineStr">
        <is>
          <t>O</t>
        </is>
      </c>
      <c r="M206" s="6" t="inlineStr">
        <is>
          <t>O</t>
        </is>
      </c>
      <c r="N206" s="6" t="inlineStr"/>
      <c r="O206" s="12" t="n">
        <v>0.8</v>
      </c>
      <c r="P206" s="12" t="n">
        <v>0</v>
      </c>
      <c r="Q206" s="6" t="n">
        <v>223</v>
      </c>
      <c r="R206" s="6" t="n">
        <v>301</v>
      </c>
      <c r="S206" s="6" t="inlineStr"/>
    </row>
    <row r="207">
      <c r="A207" s="6" t="n">
        <v>206</v>
      </c>
      <c r="B207" s="6" t="inlineStr">
        <is>
          <t>fish_share_std</t>
        </is>
      </c>
      <c r="C207" s="6" t="inlineStr">
        <is>
          <t>시간 사용·항차</t>
        </is>
      </c>
      <c r="D207" s="6" t="inlineStr">
        <is>
          <t>상태별 시간 비율</t>
        </is>
      </c>
      <c r="E207" s="6" t="inlineStr">
        <is>
          <t>fish_share</t>
        </is>
      </c>
      <c r="F207" s="7" t="inlineStr">
        <is>
          <t>조업속도(2~5kn) 시간 비율</t>
        </is>
      </c>
      <c r="G207" s="7" t="inlineStr">
        <is>
          <t>출어일 값들의 표준편차(날짜 간 변동)</t>
        </is>
      </c>
      <c r="H207" s="6" t="inlineStr">
        <is>
          <t>L2→L3</t>
        </is>
      </c>
      <c r="I207" s="6" t="inlineStr">
        <is>
          <t>민성</t>
        </is>
      </c>
      <c r="J207" s="6" t="inlineStr"/>
      <c r="K207" s="6" t="inlineStr">
        <is>
          <t>가설 G(이질성: 날짜 간 표준편차)</t>
        </is>
      </c>
      <c r="L207" s="6" t="inlineStr">
        <is>
          <t>O</t>
        </is>
      </c>
      <c r="M207" s="6" t="inlineStr">
        <is>
          <t>O</t>
        </is>
      </c>
      <c r="N207" s="6" t="inlineStr"/>
      <c r="O207" s="12" t="n">
        <v>1</v>
      </c>
      <c r="P207" s="12" t="n">
        <v>0</v>
      </c>
      <c r="Q207" s="6" t="n">
        <v>185</v>
      </c>
      <c r="R207" s="6" t="n">
        <v>231</v>
      </c>
      <c r="S207" s="6" t="inlineStr"/>
    </row>
    <row r="208">
      <c r="A208" s="6" t="n">
        <v>207</v>
      </c>
      <c r="B208" s="6" t="inlineStr">
        <is>
          <t>transit_share_std</t>
        </is>
      </c>
      <c r="C208" s="6" t="inlineStr">
        <is>
          <t>시간 사용·항차</t>
        </is>
      </c>
      <c r="D208" s="6" t="inlineStr">
        <is>
          <t>상태별 시간 비율</t>
        </is>
      </c>
      <c r="E208" s="6" t="inlineStr">
        <is>
          <t>transit_share</t>
        </is>
      </c>
      <c r="F208" s="7" t="inlineStr">
        <is>
          <t>항해(&gt;5kn, 직선) 시간 비율 (전체 기간)</t>
        </is>
      </c>
      <c r="G208" s="7" t="inlineStr">
        <is>
          <t>출어일 값들의 표준편차(날짜 간 변동)</t>
        </is>
      </c>
      <c r="H208" s="6" t="inlineStr">
        <is>
          <t>L2→L3</t>
        </is>
      </c>
      <c r="I208" s="6" t="inlineStr">
        <is>
          <t>민성</t>
        </is>
      </c>
      <c r="J208" s="6" t="inlineStr"/>
      <c r="K208" s="6" t="inlineStr">
        <is>
          <t>가설 G(이질성: 날짜 간 표준편차)</t>
        </is>
      </c>
      <c r="L208" s="6" t="inlineStr">
        <is>
          <t>O</t>
        </is>
      </c>
      <c r="M208" s="6" t="inlineStr">
        <is>
          <t>O</t>
        </is>
      </c>
      <c r="N208" s="6" t="inlineStr"/>
      <c r="O208" s="12" t="n">
        <v>0.8</v>
      </c>
      <c r="P208" s="12" t="n">
        <v>0</v>
      </c>
      <c r="Q208" s="6" t="n">
        <v>224</v>
      </c>
      <c r="R208" s="6" t="n">
        <v>275</v>
      </c>
      <c r="S208" s="6" t="inlineStr"/>
    </row>
    <row r="209">
      <c r="A209" s="6" t="n">
        <v>208</v>
      </c>
      <c r="B209" s="6" t="inlineStr">
        <is>
          <t>n_transitions_std</t>
        </is>
      </c>
      <c r="C209" s="6" t="inlineStr">
        <is>
          <t>시간 사용·항차</t>
        </is>
      </c>
      <c r="D209" s="6" t="inlineStr">
        <is>
          <t>상태 전환</t>
        </is>
      </c>
      <c r="E209" s="6" t="inlineStr">
        <is>
          <t>n_transitions</t>
        </is>
      </c>
      <c r="F209" s="7" t="inlineStr">
        <is>
          <t>시간대 상태 전환 횟수</t>
        </is>
      </c>
      <c r="G209" s="7" t="inlineStr">
        <is>
          <t>출어일 값들의 표준편차(날짜 간 변동)</t>
        </is>
      </c>
      <c r="H209" s="6" t="inlineStr">
        <is>
          <t>L2→L3</t>
        </is>
      </c>
      <c r="I209" s="6" t="inlineStr">
        <is>
          <t>민성</t>
        </is>
      </c>
      <c r="J209" s="6" t="inlineStr"/>
      <c r="K209" s="6" t="inlineStr">
        <is>
          <t>가설 G(이질성: 날짜 간 표준편차)</t>
        </is>
      </c>
      <c r="L209" s="6" t="inlineStr">
        <is>
          <t>O</t>
        </is>
      </c>
      <c r="M209" s="6" t="inlineStr">
        <is>
          <t>O</t>
        </is>
      </c>
      <c r="N209" s="6" t="inlineStr"/>
      <c r="O209" s="12" t="n">
        <v>1</v>
      </c>
      <c r="P209" s="12" t="n">
        <v>0.2</v>
      </c>
      <c r="Q209" s="6" t="n">
        <v>22</v>
      </c>
      <c r="R209" s="6" t="n">
        <v>47</v>
      </c>
      <c r="S209" s="6" t="inlineStr"/>
    </row>
    <row r="210">
      <c r="A210" s="6" t="n">
        <v>209</v>
      </c>
      <c r="B210" s="6" t="inlineStr">
        <is>
          <t>departures_std</t>
        </is>
      </c>
      <c r="C210" s="6" t="inlineStr">
        <is>
          <t>시간 사용·항차</t>
        </is>
      </c>
      <c r="D210" s="6" t="inlineStr">
        <is>
          <t>항차(출항~귀항)</t>
        </is>
      </c>
      <c r="E210" s="6" t="inlineStr">
        <is>
          <t>departures</t>
        </is>
      </c>
      <c r="F210" s="7" t="inlineStr">
        <is>
          <t>출항 횟수 (항구→비항구)</t>
        </is>
      </c>
      <c r="G210" s="7" t="inlineStr">
        <is>
          <t>출어일 값들의 표준편차(날짜 간 변동)</t>
        </is>
      </c>
      <c r="H210" s="6" t="inlineStr">
        <is>
          <t>L2→L3</t>
        </is>
      </c>
      <c r="I210" s="6" t="inlineStr">
        <is>
          <t>민성</t>
        </is>
      </c>
      <c r="J210" s="6" t="inlineStr"/>
      <c r="K210" s="6" t="inlineStr">
        <is>
          <t>가설 G(이질성: 날짜 간 표준편차)</t>
        </is>
      </c>
      <c r="L210" s="6" t="inlineStr">
        <is>
          <t>O</t>
        </is>
      </c>
      <c r="M210" s="6" t="inlineStr">
        <is>
          <t>O</t>
        </is>
      </c>
      <c r="N210" s="6" t="inlineStr"/>
      <c r="O210" s="12" t="n">
        <v>1</v>
      </c>
      <c r="P210" s="12" t="n">
        <v>0</v>
      </c>
      <c r="Q210" s="6" t="n">
        <v>98</v>
      </c>
      <c r="R210" s="6" t="n">
        <v>173</v>
      </c>
      <c r="S210" s="6" t="inlineStr"/>
    </row>
    <row r="211">
      <c r="A211" s="13" t="n">
        <v>210</v>
      </c>
      <c r="B211" s="13" t="inlineStr">
        <is>
          <t>longest_streak_std</t>
        </is>
      </c>
      <c r="C211" s="13" t="inlineStr">
        <is>
          <t>하루 리듬·시각(E)</t>
        </is>
      </c>
      <c r="D211" s="13" t="inlineStr">
        <is>
          <t>이동 블록 구조</t>
        </is>
      </c>
      <c r="E211" s="13" t="inlineStr">
        <is>
          <t>longest_streak</t>
        </is>
      </c>
      <c r="F211" s="14" t="inlineStr">
        <is>
          <t>최장 연속 이동 시간 수</t>
        </is>
      </c>
      <c r="G211" s="14" t="inlineStr">
        <is>
          <t>출어일 값들의 표준편차(날짜 간 변동)</t>
        </is>
      </c>
      <c r="H211" s="13" t="inlineStr">
        <is>
          <t>L2→L3</t>
        </is>
      </c>
      <c r="I211" s="13" t="inlineStr">
        <is>
          <t>민성·가설 E</t>
        </is>
      </c>
      <c r="J211" s="13" t="inlineStr"/>
      <c r="K211" s="13" t="inlineStr">
        <is>
          <t>가설 E(하루 리듬)</t>
        </is>
      </c>
      <c r="L211" s="13" t="inlineStr">
        <is>
          <t>O</t>
        </is>
      </c>
      <c r="M211" s="13" t="inlineStr">
        <is>
          <t>O</t>
        </is>
      </c>
      <c r="N211" s="13" t="inlineStr">
        <is>
          <t>O</t>
        </is>
      </c>
      <c r="O211" s="15" t="n">
        <v>1</v>
      </c>
      <c r="P211" s="15" t="n">
        <v>0.8</v>
      </c>
      <c r="Q211" s="13" t="n">
        <v>23</v>
      </c>
      <c r="R211" s="13" t="n">
        <v>5</v>
      </c>
      <c r="S211" s="13" t="inlineStr"/>
    </row>
    <row r="212">
      <c r="A212" s="6" t="n">
        <v>211</v>
      </c>
      <c r="B212" s="6" t="inlineStr">
        <is>
          <t>active_block_count_std</t>
        </is>
      </c>
      <c r="C212" s="6" t="inlineStr">
        <is>
          <t>하루 리듬·시각(E)</t>
        </is>
      </c>
      <c r="D212" s="6" t="inlineStr">
        <is>
          <t>이동 블록 구조</t>
        </is>
      </c>
      <c r="E212" s="6" t="inlineStr">
        <is>
          <t>active_block_count</t>
        </is>
      </c>
      <c r="F212" s="7" t="inlineStr">
        <is>
          <t>이동 블록 수 (투망·양망 블록)</t>
        </is>
      </c>
      <c r="G212" s="7" t="inlineStr">
        <is>
          <t>출어일 값들의 표준편차(날짜 간 변동)</t>
        </is>
      </c>
      <c r="H212" s="6" t="inlineStr">
        <is>
          <t>L2→L3</t>
        </is>
      </c>
      <c r="I212" s="6" t="inlineStr">
        <is>
          <t>가설 E</t>
        </is>
      </c>
      <c r="J212" s="6" t="inlineStr"/>
      <c r="K212" s="6" t="inlineStr">
        <is>
          <t>가설 E(하루 리듬)</t>
        </is>
      </c>
      <c r="L212" s="6" t="inlineStr">
        <is>
          <t>O</t>
        </is>
      </c>
      <c r="M212" s="6" t="inlineStr">
        <is>
          <t>O</t>
        </is>
      </c>
      <c r="N212" s="6" t="inlineStr"/>
      <c r="O212" s="12" t="n">
        <v>1</v>
      </c>
      <c r="P212" s="12" t="n">
        <v>0</v>
      </c>
      <c r="Q212" s="6" t="n">
        <v>99</v>
      </c>
      <c r="R212" s="6" t="n">
        <v>175</v>
      </c>
      <c r="S212" s="6" t="inlineStr"/>
    </row>
    <row r="213">
      <c r="A213" s="6" t="n">
        <v>212</v>
      </c>
      <c r="B213" s="6" t="inlineStr">
        <is>
          <t>max_block_gap_h_std</t>
        </is>
      </c>
      <c r="C213" s="6" t="inlineStr">
        <is>
          <t>하루 리듬·시각(E)</t>
        </is>
      </c>
      <c r="D213" s="6" t="inlineStr">
        <is>
          <t>이동 블록 구조</t>
        </is>
      </c>
      <c r="E213" s="6" t="inlineStr">
        <is>
          <t>max_block_gap_h</t>
        </is>
      </c>
      <c r="F213" s="7" t="inlineStr">
        <is>
          <t>이동 블록 사이 최대 휴식(시간)</t>
        </is>
      </c>
      <c r="G213" s="7" t="inlineStr">
        <is>
          <t>출어일 값들의 표준편차(날짜 간 변동)</t>
        </is>
      </c>
      <c r="H213" s="6" t="inlineStr">
        <is>
          <t>L2→L3</t>
        </is>
      </c>
      <c r="I213" s="6" t="inlineStr">
        <is>
          <t>가설 E</t>
        </is>
      </c>
      <c r="J213" s="6" t="inlineStr"/>
      <c r="K213" s="6" t="inlineStr">
        <is>
          <t>가설 E(하루 리듬)</t>
        </is>
      </c>
      <c r="L213" s="6" t="inlineStr">
        <is>
          <t>O</t>
        </is>
      </c>
      <c r="M213" s="6" t="inlineStr">
        <is>
          <t>O</t>
        </is>
      </c>
      <c r="N213" s="6" t="inlineStr"/>
      <c r="O213" s="12" t="n">
        <v>1</v>
      </c>
      <c r="P213" s="12" t="n">
        <v>0</v>
      </c>
      <c r="Q213" s="6" t="n">
        <v>104</v>
      </c>
      <c r="R213" s="6" t="n">
        <v>187</v>
      </c>
      <c r="S213" s="6" t="inlineStr"/>
    </row>
    <row r="214">
      <c r="A214" s="6" t="n">
        <v>213</v>
      </c>
      <c r="B214" s="6" t="inlineStr">
        <is>
          <t>mv_first_hour_std</t>
        </is>
      </c>
      <c r="C214" s="6" t="inlineStr">
        <is>
          <t>하루 리듬·시각(E)</t>
        </is>
      </c>
      <c r="D214" s="6" t="inlineStr">
        <is>
          <t>시작·종료 시각</t>
        </is>
      </c>
      <c r="E214" s="6" t="inlineStr">
        <is>
          <t>mv_first_hour</t>
        </is>
      </c>
      <c r="F214" s="7" t="inlineStr">
        <is>
          <t>조업(이동) 시작 시각</t>
        </is>
      </c>
      <c r="G214" s="7" t="inlineStr">
        <is>
          <t>출어일 값들의 표준편차(날짜 간 변동)</t>
        </is>
      </c>
      <c r="H214" s="6" t="inlineStr">
        <is>
          <t>L2→L3</t>
        </is>
      </c>
      <c r="I214" s="6" t="inlineStr">
        <is>
          <t>나연</t>
        </is>
      </c>
      <c r="J214" s="6" t="inlineStr"/>
      <c r="K214" s="6" t="inlineStr">
        <is>
          <t>가설 E(하루 리듬)</t>
        </is>
      </c>
      <c r="L214" s="6" t="inlineStr">
        <is>
          <t>O</t>
        </is>
      </c>
      <c r="M214" s="6" t="inlineStr">
        <is>
          <t>O</t>
        </is>
      </c>
      <c r="N214" s="6" t="inlineStr"/>
      <c r="O214" s="12" t="n">
        <v>1</v>
      </c>
      <c r="P214" s="12" t="n">
        <v>0.2</v>
      </c>
      <c r="Q214" s="6" t="n">
        <v>55</v>
      </c>
      <c r="R214" s="6" t="n">
        <v>69</v>
      </c>
      <c r="S214" s="6" t="inlineStr"/>
    </row>
    <row r="215">
      <c r="A215" s="13" t="n">
        <v>214</v>
      </c>
      <c r="B215" s="13" t="inlineStr">
        <is>
          <t>mv_last_hour_std</t>
        </is>
      </c>
      <c r="C215" s="13" t="inlineStr">
        <is>
          <t>하루 리듬·시각(E)</t>
        </is>
      </c>
      <c r="D215" s="13" t="inlineStr">
        <is>
          <t>시작·종료 시각</t>
        </is>
      </c>
      <c r="E215" s="13" t="inlineStr">
        <is>
          <t>mv_last_hour</t>
        </is>
      </c>
      <c r="F215" s="14" t="inlineStr">
        <is>
          <t>조업(이동) 종료 시각</t>
        </is>
      </c>
      <c r="G215" s="14" t="inlineStr">
        <is>
          <t>출어일 값들의 표준편차(날짜 간 변동)</t>
        </is>
      </c>
      <c r="H215" s="13" t="inlineStr">
        <is>
          <t>L2→L3</t>
        </is>
      </c>
      <c r="I215" s="13" t="inlineStr">
        <is>
          <t>나연</t>
        </is>
      </c>
      <c r="J215" s="13" t="inlineStr"/>
      <c r="K215" s="13" t="inlineStr">
        <is>
          <t>가설 E(하루 리듬)</t>
        </is>
      </c>
      <c r="L215" s="13" t="inlineStr">
        <is>
          <t>O</t>
        </is>
      </c>
      <c r="M215" s="13" t="inlineStr">
        <is>
          <t>O</t>
        </is>
      </c>
      <c r="N215" s="13" t="inlineStr">
        <is>
          <t>O</t>
        </is>
      </c>
      <c r="O215" s="15" t="n">
        <v>1</v>
      </c>
      <c r="P215" s="15" t="n">
        <v>0.8</v>
      </c>
      <c r="Q215" s="13" t="n">
        <v>19</v>
      </c>
      <c r="R215" s="13" t="n">
        <v>11</v>
      </c>
      <c r="S215" s="13" t="inlineStr"/>
    </row>
    <row r="216">
      <c r="A216" s="6" t="n">
        <v>215</v>
      </c>
      <c r="B216" s="6" t="inlineStr">
        <is>
          <t>mv_span_h_std</t>
        </is>
      </c>
      <c r="C216" s="6" t="inlineStr">
        <is>
          <t>하루 리듬·시각(E)</t>
        </is>
      </c>
      <c r="D216" s="6" t="inlineStr">
        <is>
          <t>조업 시간 폭</t>
        </is>
      </c>
      <c r="E216" s="6" t="inlineStr">
        <is>
          <t>mv_span_h</t>
        </is>
      </c>
      <c r="F216" s="7" t="inlineStr">
        <is>
          <t>조업 시간 폭 (첫~마지막 이동)</t>
        </is>
      </c>
      <c r="G216" s="7" t="inlineStr">
        <is>
          <t>출어일 값들의 표준편차(날짜 간 변동)</t>
        </is>
      </c>
      <c r="H216" s="6" t="inlineStr">
        <is>
          <t>L2→L3</t>
        </is>
      </c>
      <c r="I216" s="6" t="inlineStr">
        <is>
          <t>나연·민성</t>
        </is>
      </c>
      <c r="J216" s="6" t="inlineStr"/>
      <c r="K216" s="6" t="inlineStr">
        <is>
          <t>가설 E(하루 리듬)</t>
        </is>
      </c>
      <c r="L216" s="6" t="inlineStr">
        <is>
          <t>O</t>
        </is>
      </c>
      <c r="M216" s="6" t="inlineStr">
        <is>
          <t>O</t>
        </is>
      </c>
      <c r="N216" s="6" t="inlineStr"/>
      <c r="O216" s="12" t="n">
        <v>1</v>
      </c>
      <c r="P216" s="12" t="n">
        <v>0</v>
      </c>
      <c r="Q216" s="6" t="n">
        <v>111</v>
      </c>
      <c r="R216" s="6" t="n">
        <v>91</v>
      </c>
      <c r="S216" s="6" t="inlineStr"/>
    </row>
    <row r="217">
      <c r="A217" s="6" t="n">
        <v>216</v>
      </c>
      <c r="B217" s="6" t="inlineStr">
        <is>
          <t>mv_share_dawn_std</t>
        </is>
      </c>
      <c r="C217" s="6" t="inlineStr">
        <is>
          <t>하루 리듬·시각(E)</t>
        </is>
      </c>
      <c r="D217" s="6" t="inlineStr">
        <is>
          <t>시간대 비중</t>
        </is>
      </c>
      <c r="E217" s="6" t="inlineStr">
        <is>
          <t>mv_share_dawn</t>
        </is>
      </c>
      <c r="F217" s="7" t="inlineStr">
        <is>
          <t>이동 시간 중 새벽(0~5시) 비중</t>
        </is>
      </c>
      <c r="G217" s="7" t="inlineStr">
        <is>
          <t>출어일 값들의 표준편차(날짜 간 변동)</t>
        </is>
      </c>
      <c r="H217" s="6" t="inlineStr">
        <is>
          <t>L2→L3</t>
        </is>
      </c>
      <c r="I217" s="6" t="inlineStr">
        <is>
          <t>나연</t>
        </is>
      </c>
      <c r="J217" s="6" t="inlineStr"/>
      <c r="K217" s="6" t="inlineStr">
        <is>
          <t>가설 E(하루 리듬)</t>
        </is>
      </c>
      <c r="L217" s="6" t="inlineStr">
        <is>
          <t>O</t>
        </is>
      </c>
      <c r="M217" s="6" t="inlineStr">
        <is>
          <t>O</t>
        </is>
      </c>
      <c r="N217" s="6" t="inlineStr"/>
      <c r="O217" s="12" t="n">
        <v>1</v>
      </c>
      <c r="P217" s="12" t="n">
        <v>0</v>
      </c>
      <c r="Q217" s="6" t="n">
        <v>74</v>
      </c>
      <c r="R217" s="6" t="n">
        <v>83</v>
      </c>
      <c r="S217" s="6" t="inlineStr"/>
    </row>
    <row r="218">
      <c r="A218" s="6" t="n">
        <v>217</v>
      </c>
      <c r="B218" s="6" t="inlineStr">
        <is>
          <t>mv_share_morning_std</t>
        </is>
      </c>
      <c r="C218" s="6" t="inlineStr">
        <is>
          <t>하루 리듬·시각(E)</t>
        </is>
      </c>
      <c r="D218" s="6" t="inlineStr">
        <is>
          <t>시간대 비중</t>
        </is>
      </c>
      <c r="E218" s="6" t="inlineStr">
        <is>
          <t>mv_share_morning</t>
        </is>
      </c>
      <c r="F218" s="7" t="inlineStr">
        <is>
          <t>이동 시간 중 오전(6~11시) 비중</t>
        </is>
      </c>
      <c r="G218" s="7" t="inlineStr">
        <is>
          <t>출어일 값들의 표준편차(날짜 간 변동)</t>
        </is>
      </c>
      <c r="H218" s="6" t="inlineStr">
        <is>
          <t>L2→L3</t>
        </is>
      </c>
      <c r="I218" s="6" t="inlineStr">
        <is>
          <t>나연</t>
        </is>
      </c>
      <c r="J218" s="6" t="inlineStr"/>
      <c r="K218" s="6" t="inlineStr">
        <is>
          <t>가설 E(하루 리듬)</t>
        </is>
      </c>
      <c r="L218" s="6" t="inlineStr">
        <is>
          <t>O</t>
        </is>
      </c>
      <c r="M218" s="6" t="inlineStr">
        <is>
          <t>O</t>
        </is>
      </c>
      <c r="N218" s="6" t="inlineStr"/>
      <c r="O218" s="12" t="n">
        <v>1</v>
      </c>
      <c r="P218" s="12" t="n">
        <v>0</v>
      </c>
      <c r="Q218" s="6" t="n">
        <v>140</v>
      </c>
      <c r="R218" s="6" t="n">
        <v>97</v>
      </c>
      <c r="S218" s="6" t="inlineStr"/>
    </row>
    <row r="219">
      <c r="A219" s="6" t="n">
        <v>218</v>
      </c>
      <c r="B219" s="6" t="inlineStr">
        <is>
          <t>mv_share_afternoon_std</t>
        </is>
      </c>
      <c r="C219" s="6" t="inlineStr">
        <is>
          <t>하루 리듬·시각(E)</t>
        </is>
      </c>
      <c r="D219" s="6" t="inlineStr">
        <is>
          <t>시간대 비중</t>
        </is>
      </c>
      <c r="E219" s="6" t="inlineStr">
        <is>
          <t>mv_share_afternoon</t>
        </is>
      </c>
      <c r="F219" s="7" t="inlineStr">
        <is>
          <t>이동 시간 중 오후(12~17시) 비중</t>
        </is>
      </c>
      <c r="G219" s="7" t="inlineStr">
        <is>
          <t>출어일 값들의 표준편차(날짜 간 변동)</t>
        </is>
      </c>
      <c r="H219" s="6" t="inlineStr">
        <is>
          <t>L2→L3</t>
        </is>
      </c>
      <c r="I219" s="6" t="inlineStr">
        <is>
          <t>나연</t>
        </is>
      </c>
      <c r="J219" s="6" t="inlineStr"/>
      <c r="K219" s="6" t="inlineStr">
        <is>
          <t>가설 E(하루 리듬)</t>
        </is>
      </c>
      <c r="L219" s="6" t="inlineStr">
        <is>
          <t>O</t>
        </is>
      </c>
      <c r="M219" s="6" t="inlineStr">
        <is>
          <t>O</t>
        </is>
      </c>
      <c r="N219" s="6" t="inlineStr"/>
      <c r="O219" s="12" t="n">
        <v>1</v>
      </c>
      <c r="P219" s="12" t="n">
        <v>0</v>
      </c>
      <c r="Q219" s="6" t="n">
        <v>114</v>
      </c>
      <c r="R219" s="6" t="n">
        <v>81</v>
      </c>
      <c r="S219" s="6" t="inlineStr"/>
    </row>
    <row r="220">
      <c r="A220" s="6" t="n">
        <v>219</v>
      </c>
      <c r="B220" s="6" t="inlineStr">
        <is>
          <t>mv_share_night_std</t>
        </is>
      </c>
      <c r="C220" s="6" t="inlineStr">
        <is>
          <t>하루 리듬·시각(E)</t>
        </is>
      </c>
      <c r="D220" s="6" t="inlineStr">
        <is>
          <t>시간대 비중</t>
        </is>
      </c>
      <c r="E220" s="6" t="inlineStr">
        <is>
          <t>mv_share_night</t>
        </is>
      </c>
      <c r="F220" s="7" t="inlineStr">
        <is>
          <t>이동 시간 중 밤(18~23시) 비중</t>
        </is>
      </c>
      <c r="G220" s="7" t="inlineStr">
        <is>
          <t>출어일 값들의 표준편차(날짜 간 변동)</t>
        </is>
      </c>
      <c r="H220" s="6" t="inlineStr">
        <is>
          <t>L2→L3</t>
        </is>
      </c>
      <c r="I220" s="6" t="inlineStr">
        <is>
          <t>나연</t>
        </is>
      </c>
      <c r="J220" s="6" t="inlineStr"/>
      <c r="K220" s="6" t="inlineStr">
        <is>
          <t>가설 E(하루 리듬)</t>
        </is>
      </c>
      <c r="L220" s="6" t="inlineStr">
        <is>
          <t>O</t>
        </is>
      </c>
      <c r="M220" s="6" t="inlineStr">
        <is>
          <t>O</t>
        </is>
      </c>
      <c r="N220" s="6" t="inlineStr"/>
      <c r="O220" s="12" t="n">
        <v>0</v>
      </c>
      <c r="P220" s="12" t="n">
        <v>0</v>
      </c>
      <c r="Q220" s="6" t="n">
        <v>321</v>
      </c>
      <c r="R220" s="6" t="n">
        <v>248</v>
      </c>
      <c r="S220" s="6" t="inlineStr">
        <is>
          <t>mv_share_night_mean</t>
        </is>
      </c>
    </row>
    <row r="221">
      <c r="A221" s="6" t="n">
        <v>220</v>
      </c>
      <c r="B221" s="6" t="inlineStr">
        <is>
          <t>night_ratio_std</t>
        </is>
      </c>
      <c r="C221" s="6" t="inlineStr">
        <is>
          <t>하루 리듬·시각(E)</t>
        </is>
      </c>
      <c r="D221" s="6" t="inlineStr">
        <is>
          <t>시간대 비중</t>
        </is>
      </c>
      <c r="E221" s="6" t="inlineStr">
        <is>
          <t>night_ratio</t>
        </is>
      </c>
      <c r="F221" s="7" t="inlineStr">
        <is>
          <t>이동 중 야간(18~06시) 비율</t>
        </is>
      </c>
      <c r="G221" s="7" t="inlineStr">
        <is>
          <t>출어일 값들의 표준편차(날짜 간 변동)</t>
        </is>
      </c>
      <c r="H221" s="6" t="inlineStr">
        <is>
          <t>L2→L3</t>
        </is>
      </c>
      <c r="I221" s="6" t="inlineStr">
        <is>
          <t>민성·지유</t>
        </is>
      </c>
      <c r="J221" s="6" t="inlineStr"/>
      <c r="K221" s="6" t="inlineStr">
        <is>
          <t>가설 E(하루 리듬)</t>
        </is>
      </c>
      <c r="L221" s="6" t="inlineStr">
        <is>
          <t>O</t>
        </is>
      </c>
      <c r="M221" s="6" t="inlineStr">
        <is>
          <t>O</t>
        </is>
      </c>
      <c r="N221" s="6" t="inlineStr"/>
      <c r="O221" s="12" t="n">
        <v>1</v>
      </c>
      <c r="P221" s="12" t="n">
        <v>0.2</v>
      </c>
      <c r="Q221" s="6" t="n">
        <v>118</v>
      </c>
      <c r="R221" s="6" t="n">
        <v>65</v>
      </c>
      <c r="S221" s="6" t="inlineStr"/>
    </row>
    <row r="222">
      <c r="A222" s="6" t="n">
        <v>221</v>
      </c>
      <c r="B222" s="6" t="inlineStr">
        <is>
          <t>inter_hour_jump_med_km_std</t>
        </is>
      </c>
      <c r="C222" s="6" t="inlineStr">
        <is>
          <t>속도 구조(C)</t>
        </is>
      </c>
      <c r="D222" s="6" t="inlineStr">
        <is>
          <t>시간대 간 점프</t>
        </is>
      </c>
      <c r="E222" s="6" t="inlineStr">
        <is>
          <t>inter_hour_jump_med_km</t>
        </is>
      </c>
      <c r="F222" s="7" t="inlineStr">
        <is>
          <t>연속 시간대 끝→다음 시작 거리 중앙값(km)</t>
        </is>
      </c>
      <c r="G222" s="7" t="inlineStr">
        <is>
          <t>출어일 값들의 표준편차(날짜 간 변동)</t>
        </is>
      </c>
      <c r="H222" s="6" t="inlineStr">
        <is>
          <t>L2→L3</t>
        </is>
      </c>
      <c r="I222" s="6" t="inlineStr">
        <is>
          <t>민성</t>
        </is>
      </c>
      <c r="J222" s="6" t="inlineStr"/>
      <c r="K222" s="6" t="inlineStr">
        <is>
          <t>가설 C(속도 구조)</t>
        </is>
      </c>
      <c r="L222" s="6" t="inlineStr">
        <is>
          <t>O</t>
        </is>
      </c>
      <c r="M222" s="6" t="inlineStr">
        <is>
          <t>O</t>
        </is>
      </c>
      <c r="N222" s="6" t="inlineStr"/>
      <c r="O222" s="12" t="n">
        <v>1</v>
      </c>
      <c r="P222" s="12" t="n">
        <v>0.2</v>
      </c>
      <c r="Q222" s="6" t="n">
        <v>115</v>
      </c>
      <c r="R222" s="6" t="n">
        <v>78</v>
      </c>
      <c r="S222" s="6" t="inlineStr"/>
    </row>
    <row r="223">
      <c r="A223" s="6" t="n">
        <v>222</v>
      </c>
      <c r="B223" s="6" t="inlineStr">
        <is>
          <t>return_after_absence_std</t>
        </is>
      </c>
      <c r="C223" s="6" t="inlineStr">
        <is>
          <t>재방문·어장반복(A)</t>
        </is>
      </c>
      <c r="D223" s="6" t="inlineStr">
        <is>
          <t>하루 내 재방문</t>
        </is>
      </c>
      <c r="E223" s="6" t="inlineStr">
        <is>
          <t>return_after_absence</t>
        </is>
      </c>
      <c r="F223" s="7" t="inlineStr">
        <is>
          <t>200m 격자를 2시간 이상 떠났다 돌아온 횟수</t>
        </is>
      </c>
      <c r="G223" s="7" t="inlineStr">
        <is>
          <t>출어일 값들의 표준편차(날짜 간 변동)</t>
        </is>
      </c>
      <c r="H223" s="6" t="inlineStr">
        <is>
          <t>L2→L3</t>
        </is>
      </c>
      <c r="I223" s="6" t="inlineStr">
        <is>
          <t>가설 A</t>
        </is>
      </c>
      <c r="J223" s="6" t="inlineStr"/>
      <c r="K223" s="6" t="inlineStr">
        <is>
          <t>가설 A(재방문)</t>
        </is>
      </c>
      <c r="L223" s="6" t="inlineStr">
        <is>
          <t>O</t>
        </is>
      </c>
      <c r="M223" s="6" t="inlineStr">
        <is>
          <t>O</t>
        </is>
      </c>
      <c r="N223" s="6" t="inlineStr"/>
      <c r="O223" s="12" t="n">
        <v>0.4</v>
      </c>
      <c r="P223" s="12" t="n">
        <v>0</v>
      </c>
      <c r="Q223" s="6" t="n">
        <v>264</v>
      </c>
      <c r="R223" s="6" t="n">
        <v>240</v>
      </c>
      <c r="S223" s="6" t="inlineStr">
        <is>
          <t>return_after_absence_mean</t>
        </is>
      </c>
    </row>
    <row r="224">
      <c r="A224" s="13" t="n">
        <v>223</v>
      </c>
      <c r="B224" s="13" t="inlineStr">
        <is>
          <t>revisit_cell_ratio_std</t>
        </is>
      </c>
      <c r="C224" s="13" t="inlineStr">
        <is>
          <t>재방문·어장반복(A)</t>
        </is>
      </c>
      <c r="D224" s="13" t="inlineStr">
        <is>
          <t>하루 내 재방문</t>
        </is>
      </c>
      <c r="E224" s="13" t="inlineStr">
        <is>
          <t>revisit_cell_ratio</t>
        </is>
      </c>
      <c r="F224" s="14" t="inlineStr">
        <is>
          <t>200m 격자 중 여러 시간대에 방문한 칸 비율</t>
        </is>
      </c>
      <c r="G224" s="14" t="inlineStr">
        <is>
          <t>출어일 값들의 표준편차(날짜 간 변동)</t>
        </is>
      </c>
      <c r="H224" s="13" t="inlineStr">
        <is>
          <t>L2→L3</t>
        </is>
      </c>
      <c r="I224" s="13" t="inlineStr">
        <is>
          <t>가설 A</t>
        </is>
      </c>
      <c r="J224" s="13" t="inlineStr"/>
      <c r="K224" s="13" t="inlineStr">
        <is>
          <t>가설 A(재방문)</t>
        </is>
      </c>
      <c r="L224" s="13" t="inlineStr">
        <is>
          <t>O</t>
        </is>
      </c>
      <c r="M224" s="13" t="inlineStr">
        <is>
          <t>O</t>
        </is>
      </c>
      <c r="N224" s="13" t="inlineStr">
        <is>
          <t>O</t>
        </is>
      </c>
      <c r="O224" s="15" t="n">
        <v>1</v>
      </c>
      <c r="P224" s="15" t="n">
        <v>0.6</v>
      </c>
      <c r="Q224" s="13" t="n">
        <v>14</v>
      </c>
      <c r="R224" s="13" t="n">
        <v>15</v>
      </c>
      <c r="S224" s="13" t="inlineStr"/>
    </row>
    <row r="225">
      <c r="A225" s="6" t="n">
        <v>224</v>
      </c>
      <c r="B225" s="6" t="inlineStr">
        <is>
          <t>top3_cell_share_std</t>
        </is>
      </c>
      <c r="C225" s="6" t="inlineStr">
        <is>
          <t>재방문·어장반복(A)</t>
        </is>
      </c>
      <c r="D225" s="6" t="inlineStr">
        <is>
          <t>하루 내 재방문</t>
        </is>
      </c>
      <c r="E225" s="6" t="inlineStr">
        <is>
          <t>top3_cell_share</t>
        </is>
      </c>
      <c r="F225" s="7" t="inlineStr">
        <is>
          <t>상위 3칸 체류 비중</t>
        </is>
      </c>
      <c r="G225" s="7" t="inlineStr">
        <is>
          <t>출어일 값들의 표준편차(날짜 간 변동)</t>
        </is>
      </c>
      <c r="H225" s="6" t="inlineStr">
        <is>
          <t>L2→L3</t>
        </is>
      </c>
      <c r="I225" s="6" t="inlineStr">
        <is>
          <t>가설 A</t>
        </is>
      </c>
      <c r="J225" s="6" t="inlineStr"/>
      <c r="K225" s="6" t="inlineStr">
        <is>
          <t>가설 A(재방문)</t>
        </is>
      </c>
      <c r="L225" s="6" t="inlineStr">
        <is>
          <t>O</t>
        </is>
      </c>
      <c r="M225" s="6" t="inlineStr">
        <is>
          <t>O</t>
        </is>
      </c>
      <c r="N225" s="6" t="inlineStr"/>
      <c r="O225" s="12" t="n">
        <v>1</v>
      </c>
      <c r="P225" s="12" t="n">
        <v>0</v>
      </c>
      <c r="Q225" s="6" t="n">
        <v>180</v>
      </c>
      <c r="R225" s="6" t="n">
        <v>241</v>
      </c>
      <c r="S225" s="6" t="inlineStr"/>
    </row>
    <row r="226">
      <c r="A226" s="13" t="n">
        <v>225</v>
      </c>
      <c r="B226" s="13" t="inlineStr">
        <is>
          <t>n_cells_200m_std</t>
        </is>
      </c>
      <c r="C226" s="13" t="inlineStr">
        <is>
          <t>재방문·어장반복(A)</t>
        </is>
      </c>
      <c r="D226" s="13" t="inlineStr">
        <is>
          <t>하루 내 재방문</t>
        </is>
      </c>
      <c r="E226" s="13" t="inlineStr">
        <is>
          <t>n_cells_200m</t>
        </is>
      </c>
      <c r="F226" s="14" t="inlineStr">
        <is>
          <t>방문한 200m 격자 수</t>
        </is>
      </c>
      <c r="G226" s="14" t="inlineStr">
        <is>
          <t>출어일 값들의 표준편차(날짜 간 변동)</t>
        </is>
      </c>
      <c r="H226" s="13" t="inlineStr">
        <is>
          <t>L2→L3</t>
        </is>
      </c>
      <c r="I226" s="13" t="inlineStr">
        <is>
          <t>가설 A</t>
        </is>
      </c>
      <c r="J226" s="13" t="inlineStr"/>
      <c r="K226" s="13" t="inlineStr">
        <is>
          <t>가설 A(재방문)</t>
        </is>
      </c>
      <c r="L226" s="13" t="inlineStr">
        <is>
          <t>O</t>
        </is>
      </c>
      <c r="M226" s="13" t="inlineStr">
        <is>
          <t>O</t>
        </is>
      </c>
      <c r="N226" s="13" t="inlineStr">
        <is>
          <t>O</t>
        </is>
      </c>
      <c r="O226" s="15" t="n">
        <v>1</v>
      </c>
      <c r="P226" s="15" t="n">
        <v>0.8</v>
      </c>
      <c r="Q226" s="13" t="n">
        <v>24</v>
      </c>
      <c r="R226" s="13" t="n">
        <v>10</v>
      </c>
      <c r="S226" s="13" t="inlineStr"/>
    </row>
    <row r="227">
      <c r="A227" s="6" t="n">
        <v>226</v>
      </c>
      <c r="B227" s="6" t="inlineStr">
        <is>
          <t>stationary_ratio_std</t>
        </is>
      </c>
      <c r="C227" s="6" t="inlineStr">
        <is>
          <t>시간 사용·항차</t>
        </is>
      </c>
      <c r="D227" s="6" t="inlineStr">
        <is>
          <t>상태별 시간 비율</t>
        </is>
      </c>
      <c r="E227" s="6" t="inlineStr">
        <is>
          <t>stationary_ratio</t>
        </is>
      </c>
      <c r="F227" s="7" t="inlineStr">
        <is>
          <t>정박 시간대 비율</t>
        </is>
      </c>
      <c r="G227" s="7" t="inlineStr">
        <is>
          <t>출어일 값들의 표준편차(날짜 간 변동)</t>
        </is>
      </c>
      <c r="H227" s="6" t="inlineStr">
        <is>
          <t>L2→L3</t>
        </is>
      </c>
      <c r="I227" s="6" t="inlineStr">
        <is>
          <t>지유</t>
        </is>
      </c>
      <c r="J227" s="6" t="inlineStr"/>
      <c r="K227" s="6" t="inlineStr">
        <is>
          <t>가설 G(이질성: 날짜 간 표준편차)</t>
        </is>
      </c>
      <c r="L227" s="6" t="inlineStr">
        <is>
          <t>O</t>
        </is>
      </c>
      <c r="M227" s="6" t="inlineStr">
        <is>
          <t>O</t>
        </is>
      </c>
      <c r="N227" s="6" t="inlineStr"/>
      <c r="O227" s="12" t="n">
        <v>1</v>
      </c>
      <c r="P227" s="12" t="n">
        <v>0</v>
      </c>
      <c r="Q227" s="6" t="n">
        <v>131</v>
      </c>
      <c r="R227" s="6" t="n">
        <v>180</v>
      </c>
      <c r="S227" s="6" t="inlineStr"/>
    </row>
    <row r="228">
      <c r="A228" s="6" t="n">
        <v>227</v>
      </c>
      <c r="B228" s="6" t="inlineStr">
        <is>
          <t>n_segments_mean_std</t>
        </is>
      </c>
      <c r="C228" s="6" t="inlineStr">
        <is>
          <t>품질·기록량</t>
        </is>
      </c>
      <c r="D228" s="6" t="inlineStr">
        <is>
          <t>기록량</t>
        </is>
      </c>
      <c r="E228" s="6" t="inlineStr">
        <is>
          <t>n_segments_mean</t>
        </is>
      </c>
      <c r="F228" s="7" t="inlineStr">
        <is>
          <t>시간당 평균 구간 수</t>
        </is>
      </c>
      <c r="G228" s="7" t="inlineStr">
        <is>
          <t>출어일 값들의 표준편차(날짜 간 변동)</t>
        </is>
      </c>
      <c r="H228" s="6" t="inlineStr">
        <is>
          <t>L2→L3</t>
        </is>
      </c>
      <c r="I228" s="6" t="inlineStr">
        <is>
          <t>나연</t>
        </is>
      </c>
      <c r="J228" s="6" t="inlineStr"/>
      <c r="K228" s="6" t="inlineStr">
        <is>
          <t>가설 G(이질성: 날짜 간 표준편차)</t>
        </is>
      </c>
      <c r="L228" s="6" t="inlineStr">
        <is>
          <t>O</t>
        </is>
      </c>
      <c r="M228" s="6" t="inlineStr">
        <is>
          <t>O</t>
        </is>
      </c>
      <c r="N228" s="6" t="inlineStr"/>
      <c r="O228" s="12" t="n">
        <v>1</v>
      </c>
      <c r="P228" s="12" t="n">
        <v>0</v>
      </c>
      <c r="Q228" s="6" t="n">
        <v>83</v>
      </c>
      <c r="R228" s="6" t="n">
        <v>158</v>
      </c>
      <c r="S228" s="6" t="inlineStr"/>
    </row>
    <row r="229">
      <c r="A229" s="6" t="n">
        <v>228</v>
      </c>
      <c r="B229" s="6" t="inlineStr">
        <is>
          <t>mv_sp_mean_std</t>
        </is>
      </c>
      <c r="C229" s="6" t="inlineStr">
        <is>
          <t>속도 구조(C)</t>
        </is>
      </c>
      <c r="D229" s="6" t="inlineStr">
        <is>
          <t>10분 구간 속도</t>
        </is>
      </c>
      <c r="E229" s="6" t="inlineStr">
        <is>
          <t>sp_mean</t>
        </is>
      </c>
      <c r="F229" s="7" t="inlineStr">
        <is>
          <t>10분 구간 추정속도 평균(kn)</t>
        </is>
      </c>
      <c r="G229" s="7" t="inlineStr">
        <is>
          <t>출어일마다 이동 시간대 평균 → 출어일들의 표준편차(날짜 간 변동)</t>
        </is>
      </c>
      <c r="H229" s="6" t="inlineStr">
        <is>
          <t>L1→L2→L3</t>
        </is>
      </c>
      <c r="I229" s="6" t="inlineStr">
        <is>
          <t>나연·진우</t>
        </is>
      </c>
      <c r="J229" s="6" t="inlineStr"/>
      <c r="K229" s="6" t="inlineStr">
        <is>
          <t>가설 C(속도 구조)</t>
        </is>
      </c>
      <c r="L229" s="6" t="inlineStr">
        <is>
          <t>O</t>
        </is>
      </c>
      <c r="M229" s="6" t="inlineStr">
        <is>
          <t>O</t>
        </is>
      </c>
      <c r="N229" s="6" t="inlineStr"/>
      <c r="O229" s="12" t="n">
        <v>0.6</v>
      </c>
      <c r="P229" s="12" t="n">
        <v>0</v>
      </c>
      <c r="Q229" s="6" t="n">
        <v>242</v>
      </c>
      <c r="R229" s="6" t="n">
        <v>261</v>
      </c>
      <c r="S229" s="6" t="inlineStr">
        <is>
          <t>mv_sp_p90_std</t>
        </is>
      </c>
    </row>
    <row r="230">
      <c r="A230" s="6" t="n">
        <v>229</v>
      </c>
      <c r="B230" s="6" t="inlineStr">
        <is>
          <t>mv_sp_p90_std</t>
        </is>
      </c>
      <c r="C230" s="6" t="inlineStr">
        <is>
          <t>속도 구조(C)</t>
        </is>
      </c>
      <c r="D230" s="6" t="inlineStr">
        <is>
          <t>10분 구간 속도</t>
        </is>
      </c>
      <c r="E230" s="6" t="inlineStr">
        <is>
          <t>sp_p90</t>
        </is>
      </c>
      <c r="F230" s="7" t="inlineStr">
        <is>
          <t>10분 속도 90% 분위</t>
        </is>
      </c>
      <c r="G230" s="7" t="inlineStr">
        <is>
          <t>출어일마다 이동 시간대 평균 → 출어일들의 표준편차(날짜 간 변동)</t>
        </is>
      </c>
      <c r="H230" s="6" t="inlineStr">
        <is>
          <t>L1→L2→L3</t>
        </is>
      </c>
      <c r="I230" s="6" t="inlineStr">
        <is>
          <t>나연</t>
        </is>
      </c>
      <c r="J230" s="6" t="inlineStr"/>
      <c r="K230" s="6" t="inlineStr">
        <is>
          <t>가설 C(속도 구조)</t>
        </is>
      </c>
      <c r="L230" s="6" t="inlineStr">
        <is>
          <t>O</t>
        </is>
      </c>
      <c r="M230" s="6" t="inlineStr">
        <is>
          <t>O</t>
        </is>
      </c>
      <c r="N230" s="6" t="inlineStr"/>
      <c r="O230" s="12" t="n">
        <v>0.4</v>
      </c>
      <c r="P230" s="12" t="n">
        <v>0</v>
      </c>
      <c r="Q230" s="6" t="n">
        <v>262</v>
      </c>
      <c r="R230" s="6" t="n">
        <v>196</v>
      </c>
      <c r="S230" s="6" t="inlineStr">
        <is>
          <t>mv_sp_std_std</t>
        </is>
      </c>
    </row>
    <row r="231">
      <c r="A231" s="6" t="n">
        <v>230</v>
      </c>
      <c r="B231" s="6" t="inlineStr">
        <is>
          <t>mv_sp_std_std</t>
        </is>
      </c>
      <c r="C231" s="6" t="inlineStr">
        <is>
          <t>속도 구조(C)</t>
        </is>
      </c>
      <c r="D231" s="6" t="inlineStr">
        <is>
          <t>10분 구간 속도</t>
        </is>
      </c>
      <c r="E231" s="6" t="inlineStr">
        <is>
          <t>sp_std</t>
        </is>
      </c>
      <c r="F231" s="7" t="inlineStr">
        <is>
          <t>10분 속도 표준편차</t>
        </is>
      </c>
      <c r="G231" s="7" t="inlineStr">
        <is>
          <t>출어일마다 이동 시간대 평균 → 출어일들의 표준편차(날짜 간 변동)</t>
        </is>
      </c>
      <c r="H231" s="6" t="inlineStr">
        <is>
          <t>L1→L2→L3</t>
        </is>
      </c>
      <c r="I231" s="6" t="inlineStr">
        <is>
          <t>나연</t>
        </is>
      </c>
      <c r="J231" s="6" t="inlineStr"/>
      <c r="K231" s="6" t="inlineStr">
        <is>
          <t>가설 C(속도 구조)</t>
        </is>
      </c>
      <c r="L231" s="6" t="inlineStr">
        <is>
          <t>O</t>
        </is>
      </c>
      <c r="M231" s="6" t="inlineStr">
        <is>
          <t>O</t>
        </is>
      </c>
      <c r="N231" s="6" t="inlineStr"/>
      <c r="O231" s="12" t="n">
        <v>0.6</v>
      </c>
      <c r="P231" s="12" t="n">
        <v>0</v>
      </c>
      <c r="Q231" s="6" t="n">
        <v>232</v>
      </c>
      <c r="R231" s="6" t="n">
        <v>89</v>
      </c>
      <c r="S231" s="6" t="inlineStr">
        <is>
          <t>mv_sp_p90_std</t>
        </is>
      </c>
    </row>
    <row r="232">
      <c r="A232" s="6" t="n">
        <v>231</v>
      </c>
      <c r="B232" s="6" t="inlineStr">
        <is>
          <t>mv_sp_change_mean_std</t>
        </is>
      </c>
      <c r="C232" s="6" t="inlineStr">
        <is>
          <t>속도 구조(C)</t>
        </is>
      </c>
      <c r="D232" s="6" t="inlineStr">
        <is>
          <t>10분 구간 속도</t>
        </is>
      </c>
      <c r="E232" s="6" t="inlineStr">
        <is>
          <t>sp_change_mean</t>
        </is>
      </c>
      <c r="F232" s="7" t="inlineStr">
        <is>
          <t>10분 속도 변화량 평균(가감속)</t>
        </is>
      </c>
      <c r="G232" s="7" t="inlineStr">
        <is>
          <t>출어일마다 이동 시간대 평균 → 출어일들의 표준편차(날짜 간 변동)</t>
        </is>
      </c>
      <c r="H232" s="6" t="inlineStr">
        <is>
          <t>L1→L2→L3</t>
        </is>
      </c>
      <c r="I232" s="6" t="inlineStr">
        <is>
          <t>나연</t>
        </is>
      </c>
      <c r="J232" s="6" t="inlineStr"/>
      <c r="K232" s="6" t="inlineStr">
        <is>
          <t>가설 C(속도 구조)</t>
        </is>
      </c>
      <c r="L232" s="6" t="inlineStr">
        <is>
          <t>O</t>
        </is>
      </c>
      <c r="M232" s="6" t="inlineStr">
        <is>
          <t>O</t>
        </is>
      </c>
      <c r="N232" s="6" t="inlineStr"/>
      <c r="O232" s="12" t="n">
        <v>1</v>
      </c>
      <c r="P232" s="12" t="n">
        <v>0</v>
      </c>
      <c r="Q232" s="6" t="n">
        <v>50</v>
      </c>
      <c r="R232" s="6" t="n">
        <v>84</v>
      </c>
      <c r="S232" s="6" t="inlineStr"/>
    </row>
    <row r="233">
      <c r="A233" s="6" t="n">
        <v>232</v>
      </c>
      <c r="B233" s="6" t="inlineStr">
        <is>
          <t>mv_frac_slow_std</t>
        </is>
      </c>
      <c r="C233" s="6" t="inlineStr">
        <is>
          <t>속도 구조(C)</t>
        </is>
      </c>
      <c r="D233" s="6" t="inlineStr">
        <is>
          <t>속도 구간 비율</t>
        </is>
      </c>
      <c r="E233" s="6" t="inlineStr">
        <is>
          <t>frac_slow</t>
        </is>
      </c>
      <c r="F233" s="7" t="inlineStr">
        <is>
          <t>저속(0.5~3kn) 구간 비율</t>
        </is>
      </c>
      <c r="G233" s="7" t="inlineStr">
        <is>
          <t>출어일마다 이동 시간대 평균 → 출어일들의 표준편차(날짜 간 변동)</t>
        </is>
      </c>
      <c r="H233" s="6" t="inlineStr">
        <is>
          <t>L1→L2→L3</t>
        </is>
      </c>
      <c r="I233" s="6" t="inlineStr">
        <is>
          <t>나연</t>
        </is>
      </c>
      <c r="J233" s="6" t="inlineStr"/>
      <c r="K233" s="6" t="inlineStr">
        <is>
          <t>가설 C(속도 구조)</t>
        </is>
      </c>
      <c r="L233" s="6" t="inlineStr">
        <is>
          <t>O</t>
        </is>
      </c>
      <c r="M233" s="6" t="inlineStr">
        <is>
          <t>O</t>
        </is>
      </c>
      <c r="N233" s="6" t="inlineStr"/>
      <c r="O233" s="12" t="n">
        <v>1</v>
      </c>
      <c r="P233" s="12" t="n">
        <v>0</v>
      </c>
      <c r="Q233" s="6" t="n">
        <v>35</v>
      </c>
      <c r="R233" s="6" t="n">
        <v>102</v>
      </c>
      <c r="S233" s="6" t="inlineStr"/>
    </row>
    <row r="234">
      <c r="A234" s="6" t="n">
        <v>233</v>
      </c>
      <c r="B234" s="6" t="inlineStr">
        <is>
          <t>mv_frac_mid_std</t>
        </is>
      </c>
      <c r="C234" s="6" t="inlineStr">
        <is>
          <t>속도 구조(C)</t>
        </is>
      </c>
      <c r="D234" s="6" t="inlineStr">
        <is>
          <t>속도 구간 비율</t>
        </is>
      </c>
      <c r="E234" s="6" t="inlineStr">
        <is>
          <t>frac_mid</t>
        </is>
      </c>
      <c r="F234" s="7" t="inlineStr">
        <is>
          <t>중속(3~6kn) 구간 비율</t>
        </is>
      </c>
      <c r="G234" s="7" t="inlineStr">
        <is>
          <t>출어일마다 이동 시간대 평균 → 출어일들의 표준편차(날짜 간 변동)</t>
        </is>
      </c>
      <c r="H234" s="6" t="inlineStr">
        <is>
          <t>L1→L2→L3</t>
        </is>
      </c>
      <c r="I234" s="6" t="inlineStr">
        <is>
          <t>나연</t>
        </is>
      </c>
      <c r="J234" s="6" t="inlineStr"/>
      <c r="K234" s="6" t="inlineStr">
        <is>
          <t>가설 C(속도 구조)</t>
        </is>
      </c>
      <c r="L234" s="6" t="inlineStr">
        <is>
          <t>O</t>
        </is>
      </c>
      <c r="M234" s="6" t="inlineStr">
        <is>
          <t>O</t>
        </is>
      </c>
      <c r="N234" s="6" t="inlineStr"/>
      <c r="O234" s="12" t="n">
        <v>1</v>
      </c>
      <c r="P234" s="12" t="n">
        <v>0</v>
      </c>
      <c r="Q234" s="6" t="n">
        <v>110</v>
      </c>
      <c r="R234" s="6" t="n">
        <v>151</v>
      </c>
      <c r="S234" s="6" t="inlineStr"/>
    </row>
    <row r="235">
      <c r="A235" s="6" t="n">
        <v>234</v>
      </c>
      <c r="B235" s="6" t="inlineStr">
        <is>
          <t>mv_frac_fast_std</t>
        </is>
      </c>
      <c r="C235" s="6" t="inlineStr">
        <is>
          <t>속도 구조(C)</t>
        </is>
      </c>
      <c r="D235" s="6" t="inlineStr">
        <is>
          <t>속도 구간 비율</t>
        </is>
      </c>
      <c r="E235" s="6" t="inlineStr">
        <is>
          <t>frac_fast</t>
        </is>
      </c>
      <c r="F235" s="7" t="inlineStr">
        <is>
          <t>고속(&gt;6kn) 구간 비율</t>
        </is>
      </c>
      <c r="G235" s="7" t="inlineStr">
        <is>
          <t>출어일마다 이동 시간대 평균 → 출어일들의 표준편차(날짜 간 변동)</t>
        </is>
      </c>
      <c r="H235" s="6" t="inlineStr">
        <is>
          <t>L1→L2→L3</t>
        </is>
      </c>
      <c r="I235" s="6" t="inlineStr">
        <is>
          <t>나연</t>
        </is>
      </c>
      <c r="J235" s="6" t="inlineStr"/>
      <c r="K235" s="6" t="inlineStr">
        <is>
          <t>가설 C(속도 구조)</t>
        </is>
      </c>
      <c r="L235" s="6" t="inlineStr">
        <is>
          <t>O</t>
        </is>
      </c>
      <c r="M235" s="6" t="inlineStr">
        <is>
          <t>O</t>
        </is>
      </c>
      <c r="N235" s="6" t="inlineStr"/>
      <c r="O235" s="12" t="n">
        <v>1</v>
      </c>
      <c r="P235" s="12" t="n">
        <v>0</v>
      </c>
      <c r="Q235" s="6" t="n">
        <v>66</v>
      </c>
      <c r="R235" s="6" t="n">
        <v>254</v>
      </c>
      <c r="S235" s="6" t="inlineStr"/>
    </row>
    <row r="236">
      <c r="A236" s="6" t="n">
        <v>235</v>
      </c>
      <c r="B236" s="6" t="inlineStr">
        <is>
          <t>mv_heading_R_std</t>
        </is>
      </c>
      <c r="C236" s="6" t="inlineStr">
        <is>
          <t>방향·회전(D)</t>
        </is>
      </c>
      <c r="D236" s="6" t="inlineStr">
        <is>
          <t>방향 일관성</t>
        </is>
      </c>
      <c r="E236" s="6" t="inlineStr">
        <is>
          <t>heading_R</t>
        </is>
      </c>
      <c r="F236" s="7" t="inlineStr">
        <is>
          <t>방향 일관성 (1=한 방향, 0=사방)</t>
        </is>
      </c>
      <c r="G236" s="7" t="inlineStr">
        <is>
          <t>출어일마다 이동 시간대 평균 → 출어일들의 표준편차(날짜 간 변동)</t>
        </is>
      </c>
      <c r="H236" s="6" t="inlineStr">
        <is>
          <t>L1→L2→L3</t>
        </is>
      </c>
      <c r="I236" s="6" t="inlineStr">
        <is>
          <t>진우·나연·민성</t>
        </is>
      </c>
      <c r="J236" s="6" t="inlineStr"/>
      <c r="K236" s="6" t="inlineStr">
        <is>
          <t>가설 D(선회)</t>
        </is>
      </c>
      <c r="L236" s="6" t="inlineStr">
        <is>
          <t>O</t>
        </is>
      </c>
      <c r="M236" s="6" t="inlineStr">
        <is>
          <t>O</t>
        </is>
      </c>
      <c r="N236" s="6" t="inlineStr"/>
      <c r="O236" s="12" t="n">
        <v>0.2</v>
      </c>
      <c r="P236" s="12" t="n">
        <v>0</v>
      </c>
      <c r="Q236" s="6" t="n">
        <v>287</v>
      </c>
      <c r="R236" s="6" t="n">
        <v>220</v>
      </c>
      <c r="S236" s="6" t="inlineStr">
        <is>
          <t>mv_bearing_std_std</t>
        </is>
      </c>
    </row>
    <row r="237">
      <c r="A237" s="6" t="n">
        <v>236</v>
      </c>
      <c r="B237" s="6" t="inlineStr">
        <is>
          <t>mv_bearing_std_std</t>
        </is>
      </c>
      <c r="C237" s="6" t="inlineStr">
        <is>
          <t>방향·회전(D)</t>
        </is>
      </c>
      <c r="D237" s="6" t="inlineStr">
        <is>
          <t>방향 일관성</t>
        </is>
      </c>
      <c r="E237" s="6" t="inlineStr">
        <is>
          <t>bearing_std</t>
        </is>
      </c>
      <c r="F237" s="7" t="inlineStr">
        <is>
          <t>진행방향 원형 표준편차(°)</t>
        </is>
      </c>
      <c r="G237" s="7" t="inlineStr">
        <is>
          <t>출어일마다 이동 시간대 평균 → 출어일들의 표준편차(날짜 간 변동)</t>
        </is>
      </c>
      <c r="H237" s="6" t="inlineStr">
        <is>
          <t>L1→L2→L3</t>
        </is>
      </c>
      <c r="I237" s="6" t="inlineStr">
        <is>
          <t>지유</t>
        </is>
      </c>
      <c r="J237" s="6" t="inlineStr"/>
      <c r="K237" s="6" t="inlineStr">
        <is>
          <t>가설 D(선회)</t>
        </is>
      </c>
      <c r="L237" s="6" t="inlineStr">
        <is>
          <t>O</t>
        </is>
      </c>
      <c r="M237" s="6" t="inlineStr">
        <is>
          <t>O</t>
        </is>
      </c>
      <c r="N237" s="6" t="inlineStr"/>
      <c r="O237" s="12" t="n">
        <v>0.8</v>
      </c>
      <c r="P237" s="12" t="n">
        <v>0</v>
      </c>
      <c r="Q237" s="6" t="n">
        <v>213</v>
      </c>
      <c r="R237" s="6" t="n">
        <v>280</v>
      </c>
      <c r="S237" s="6" t="inlineStr">
        <is>
          <t>mv_heading_R_std</t>
        </is>
      </c>
    </row>
    <row r="238">
      <c r="A238" s="6" t="n">
        <v>237</v>
      </c>
      <c r="B238" s="6" t="inlineStr">
        <is>
          <t>mv_turn_mean_std</t>
        </is>
      </c>
      <c r="C238" s="6" t="inlineStr">
        <is>
          <t>방향·회전(D)</t>
        </is>
      </c>
      <c r="D238" s="6" t="inlineStr">
        <is>
          <t>회전각</t>
        </is>
      </c>
      <c r="E238" s="6" t="inlineStr">
        <is>
          <t>turn_mean</t>
        </is>
      </c>
      <c r="F238" s="7" t="inlineStr">
        <is>
          <t>회전각 평균(°)</t>
        </is>
      </c>
      <c r="G238" s="7" t="inlineStr">
        <is>
          <t>출어일마다 이동 시간대 평균 → 출어일들의 표준편차(날짜 간 변동)</t>
        </is>
      </c>
      <c r="H238" s="6" t="inlineStr">
        <is>
          <t>L1→L2→L3</t>
        </is>
      </c>
      <c r="I238" s="6" t="inlineStr">
        <is>
          <t>공통</t>
        </is>
      </c>
      <c r="J238" s="6" t="inlineStr"/>
      <c r="K238" s="6" t="inlineStr">
        <is>
          <t>가설 D(선회)</t>
        </is>
      </c>
      <c r="L238" s="6" t="inlineStr">
        <is>
          <t>O</t>
        </is>
      </c>
      <c r="M238" s="6" t="inlineStr">
        <is>
          <t>O</t>
        </is>
      </c>
      <c r="N238" s="6" t="inlineStr"/>
      <c r="O238" s="12" t="n">
        <v>1</v>
      </c>
      <c r="P238" s="12" t="n">
        <v>0</v>
      </c>
      <c r="Q238" s="6" t="n">
        <v>154</v>
      </c>
      <c r="R238" s="6" t="n">
        <v>120</v>
      </c>
      <c r="S238" s="6" t="inlineStr"/>
    </row>
    <row r="239">
      <c r="A239" s="6" t="n">
        <v>238</v>
      </c>
      <c r="B239" s="6" t="inlineStr">
        <is>
          <t>mv_turn_std_std</t>
        </is>
      </c>
      <c r="C239" s="6" t="inlineStr">
        <is>
          <t>방향·회전(D)</t>
        </is>
      </c>
      <c r="D239" s="6" t="inlineStr">
        <is>
          <t>회전각</t>
        </is>
      </c>
      <c r="E239" s="6" t="inlineStr">
        <is>
          <t>turn_std</t>
        </is>
      </c>
      <c r="F239" s="7" t="inlineStr">
        <is>
          <t>회전각 표준편차</t>
        </is>
      </c>
      <c r="G239" s="7" t="inlineStr">
        <is>
          <t>출어일마다 이동 시간대 평균 → 출어일들의 표준편차(날짜 간 변동)</t>
        </is>
      </c>
      <c r="H239" s="6" t="inlineStr">
        <is>
          <t>L1→L2→L3</t>
        </is>
      </c>
      <c r="I239" s="6" t="inlineStr">
        <is>
          <t>공통</t>
        </is>
      </c>
      <c r="J239" s="6" t="inlineStr"/>
      <c r="K239" s="6" t="inlineStr">
        <is>
          <t>가설 D(선회)</t>
        </is>
      </c>
      <c r="L239" s="6" t="inlineStr">
        <is>
          <t>O</t>
        </is>
      </c>
      <c r="M239" s="6" t="inlineStr">
        <is>
          <t>O</t>
        </is>
      </c>
      <c r="N239" s="6" t="inlineStr"/>
      <c r="O239" s="12" t="n">
        <v>1</v>
      </c>
      <c r="P239" s="12" t="n">
        <v>0</v>
      </c>
      <c r="Q239" s="6" t="n">
        <v>86</v>
      </c>
      <c r="R239" s="6" t="n">
        <v>145</v>
      </c>
      <c r="S239" s="6" t="inlineStr"/>
    </row>
    <row r="240">
      <c r="A240" s="6" t="n">
        <v>239</v>
      </c>
      <c r="B240" s="6" t="inlineStr">
        <is>
          <t>mv_uturn_ratio_std</t>
        </is>
      </c>
      <c r="C240" s="6" t="inlineStr">
        <is>
          <t>방향·회전(D)</t>
        </is>
      </c>
      <c r="D240" s="6" t="inlineStr">
        <is>
          <t>급선회·U턴</t>
        </is>
      </c>
      <c r="E240" s="6" t="inlineStr">
        <is>
          <t>uturn_ratio</t>
        </is>
      </c>
      <c r="F240" s="7" t="inlineStr">
        <is>
          <t>U턴 비율</t>
        </is>
      </c>
      <c r="G240" s="7" t="inlineStr">
        <is>
          <t>출어일마다 이동 시간대 평균 → 출어일들의 표준편차(날짜 간 변동)</t>
        </is>
      </c>
      <c r="H240" s="6" t="inlineStr">
        <is>
          <t>L1→L2→L3</t>
        </is>
      </c>
      <c r="I240" s="6" t="inlineStr">
        <is>
          <t>나연</t>
        </is>
      </c>
      <c r="J240" s="6" t="inlineStr"/>
      <c r="K240" s="6" t="inlineStr">
        <is>
          <t>가설 D(선회)</t>
        </is>
      </c>
      <c r="L240" s="6" t="inlineStr">
        <is>
          <t>O</t>
        </is>
      </c>
      <c r="M240" s="6" t="inlineStr">
        <is>
          <t>O</t>
        </is>
      </c>
      <c r="N240" s="6" t="inlineStr"/>
      <c r="O240" s="12" t="n">
        <v>1</v>
      </c>
      <c r="P240" s="12" t="n">
        <v>0</v>
      </c>
      <c r="Q240" s="6" t="n">
        <v>138</v>
      </c>
      <c r="R240" s="6" t="n">
        <v>247</v>
      </c>
      <c r="S240" s="6" t="inlineStr"/>
    </row>
    <row r="241">
      <c r="A241" s="6" t="n">
        <v>240</v>
      </c>
      <c r="B241" s="6" t="inlineStr">
        <is>
          <t>mv_turn90_per_km_std</t>
        </is>
      </c>
      <c r="C241" s="6" t="inlineStr">
        <is>
          <t>방향·회전(D)</t>
        </is>
      </c>
      <c r="D241" s="6" t="inlineStr">
        <is>
          <t>급선회·U턴</t>
        </is>
      </c>
      <c r="E241" s="6" t="inlineStr">
        <is>
          <t>turn90_per_km</t>
        </is>
      </c>
      <c r="F241" s="7" t="inlineStr">
        <is>
          <t>km당 90° 초과 회전 수</t>
        </is>
      </c>
      <c r="G241" s="7" t="inlineStr">
        <is>
          <t>출어일마다 이동 시간대 평균 → 출어일들의 표준편차(날짜 간 변동)</t>
        </is>
      </c>
      <c r="H241" s="6" t="inlineStr">
        <is>
          <t>L1→L2→L3</t>
        </is>
      </c>
      <c r="I241" s="6" t="inlineStr">
        <is>
          <t>나연</t>
        </is>
      </c>
      <c r="J241" s="6" t="inlineStr"/>
      <c r="K241" s="6" t="inlineStr">
        <is>
          <t>가설 D(선회)</t>
        </is>
      </c>
      <c r="L241" s="6" t="inlineStr">
        <is>
          <t>O</t>
        </is>
      </c>
      <c r="M241" s="6" t="inlineStr">
        <is>
          <t>O</t>
        </is>
      </c>
      <c r="N241" s="6" t="inlineStr"/>
      <c r="O241" s="12" t="n">
        <v>1</v>
      </c>
      <c r="P241" s="12" t="n">
        <v>0</v>
      </c>
      <c r="Q241" s="6" t="n">
        <v>44</v>
      </c>
      <c r="R241" s="6" t="n">
        <v>105</v>
      </c>
      <c r="S241" s="6" t="inlineStr"/>
    </row>
    <row r="242">
      <c r="A242" s="6" t="n">
        <v>241</v>
      </c>
      <c r="B242" s="6" t="inlineStr">
        <is>
          <t>mv_large_turn_ratio_std</t>
        </is>
      </c>
      <c r="C242" s="6" t="inlineStr">
        <is>
          <t>방향·회전(D)</t>
        </is>
      </c>
      <c r="D242" s="6" t="inlineStr">
        <is>
          <t>급선회·U턴</t>
        </is>
      </c>
      <c r="E242" s="6" t="inlineStr">
        <is>
          <t>large_turn_ratio</t>
        </is>
      </c>
      <c r="F242" s="7" t="inlineStr">
        <is>
          <t>60° 초과 급선회 비율</t>
        </is>
      </c>
      <c r="G242" s="7" t="inlineStr">
        <is>
          <t>출어일마다 이동 시간대 평균 → 출어일들의 표준편차(날짜 간 변동)</t>
        </is>
      </c>
      <c r="H242" s="6" t="inlineStr">
        <is>
          <t>L1→L2→L3</t>
        </is>
      </c>
      <c r="I242" s="6" t="inlineStr">
        <is>
          <t>지유·민성·진우</t>
        </is>
      </c>
      <c r="J242" s="6" t="inlineStr"/>
      <c r="K242" s="6" t="inlineStr">
        <is>
          <t>가설 D(선회)</t>
        </is>
      </c>
      <c r="L242" s="6" t="inlineStr">
        <is>
          <t>O</t>
        </is>
      </c>
      <c r="M242" s="6" t="inlineStr">
        <is>
          <t>O</t>
        </is>
      </c>
      <c r="N242" s="6" t="inlineStr"/>
      <c r="O242" s="12" t="n">
        <v>1</v>
      </c>
      <c r="P242" s="12" t="n">
        <v>0</v>
      </c>
      <c r="Q242" s="6" t="n">
        <v>117</v>
      </c>
      <c r="R242" s="6" t="n">
        <v>174</v>
      </c>
      <c r="S242" s="6" t="inlineStr"/>
    </row>
    <row r="243">
      <c r="A243" s="6" t="n">
        <v>242</v>
      </c>
      <c r="B243" s="6" t="inlineStr">
        <is>
          <t>mv_loops_std</t>
        </is>
      </c>
      <c r="C243" s="6" t="inlineStr">
        <is>
          <t>방향·회전(D)</t>
        </is>
      </c>
      <c r="D243" s="6" t="inlineStr">
        <is>
          <t>루프</t>
        </is>
      </c>
      <c r="E243" s="6" t="inlineStr">
        <is>
          <t>loops</t>
        </is>
      </c>
      <c r="F243" s="7" t="inlineStr">
        <is>
          <t>누적 회전/360 = 제자리 맴돈 루프 수</t>
        </is>
      </c>
      <c r="G243" s="7" t="inlineStr">
        <is>
          <t>출어일마다 이동 시간대 평균 → 출어일들의 표준편차(날짜 간 변동)</t>
        </is>
      </c>
      <c r="H243" s="6" t="inlineStr">
        <is>
          <t>L1→L2→L3</t>
        </is>
      </c>
      <c r="I243" s="6" t="inlineStr">
        <is>
          <t>가설 D</t>
        </is>
      </c>
      <c r="J243" s="6" t="inlineStr"/>
      <c r="K243" s="6" t="inlineStr">
        <is>
          <t>가설 D(선회)</t>
        </is>
      </c>
      <c r="L243" s="6" t="inlineStr">
        <is>
          <t>O</t>
        </is>
      </c>
      <c r="M243" s="6" t="inlineStr">
        <is>
          <t>O</t>
        </is>
      </c>
      <c r="N243" s="6" t="inlineStr"/>
      <c r="O243" s="12" t="n">
        <v>1</v>
      </c>
      <c r="P243" s="12" t="n">
        <v>0</v>
      </c>
      <c r="Q243" s="6" t="n">
        <v>124</v>
      </c>
      <c r="R243" s="6" t="n">
        <v>224</v>
      </c>
      <c r="S243" s="6" t="inlineStr"/>
    </row>
    <row r="244">
      <c r="A244" s="6" t="n">
        <v>243</v>
      </c>
      <c r="B244" s="6" t="inlineStr">
        <is>
          <t>mv_straightness_std</t>
        </is>
      </c>
      <c r="C244" s="6" t="inlineStr">
        <is>
          <t>경로형태·직선투망(B)</t>
        </is>
      </c>
      <c r="D244" s="6" t="inlineStr">
        <is>
          <t>직진도·구불거림</t>
        </is>
      </c>
      <c r="E244" s="6" t="inlineStr">
        <is>
          <t>straightness</t>
        </is>
      </c>
      <c r="F244" s="7" t="inlineStr">
        <is>
          <t>직진도 = 변위/거리 (0~1, 1=일직선)</t>
        </is>
      </c>
      <c r="G244" s="7" t="inlineStr">
        <is>
          <t>출어일마다 이동 시간대 평균 → 출어일들의 표준편차(날짜 간 변동)</t>
        </is>
      </c>
      <c r="H244" s="6" t="inlineStr">
        <is>
          <t>L1→L2→L3</t>
        </is>
      </c>
      <c r="I244" s="6" t="inlineStr">
        <is>
          <t>공통</t>
        </is>
      </c>
      <c r="J244" s="6" t="inlineStr"/>
      <c r="K244" s="6" t="inlineStr">
        <is>
          <t>가설 B(직선 투망)</t>
        </is>
      </c>
      <c r="L244" s="6" t="inlineStr">
        <is>
          <t>O</t>
        </is>
      </c>
      <c r="M244" s="6" t="inlineStr">
        <is>
          <t>O</t>
        </is>
      </c>
      <c r="N244" s="6" t="inlineStr"/>
      <c r="O244" s="12" t="n">
        <v>1</v>
      </c>
      <c r="P244" s="12" t="n">
        <v>0</v>
      </c>
      <c r="Q244" s="6" t="n">
        <v>95</v>
      </c>
      <c r="R244" s="6" t="n">
        <v>154</v>
      </c>
      <c r="S244" s="6" t="inlineStr"/>
    </row>
    <row r="245">
      <c r="A245" s="6" t="n">
        <v>244</v>
      </c>
      <c r="B245" s="6" t="inlineStr">
        <is>
          <t>mv_path_over_rg_std</t>
        </is>
      </c>
      <c r="C245" s="6" t="inlineStr">
        <is>
          <t>경로형태·직선투망(B)</t>
        </is>
      </c>
      <c r="D245" s="6" t="inlineStr">
        <is>
          <t>경로 반복도</t>
        </is>
      </c>
      <c r="E245" s="6" t="inlineStr">
        <is>
          <t>path_over_rg</t>
        </is>
      </c>
      <c r="F245" s="7" t="inlineStr">
        <is>
          <t>경로길이/회전반경</t>
        </is>
      </c>
      <c r="G245" s="7" t="inlineStr">
        <is>
          <t>출어일마다 이동 시간대 평균 → 출어일들의 표준편차(날짜 간 변동)</t>
        </is>
      </c>
      <c r="H245" s="6" t="inlineStr">
        <is>
          <t>L1→L2→L3</t>
        </is>
      </c>
      <c r="I245" s="6" t="inlineStr">
        <is>
          <t>나연</t>
        </is>
      </c>
      <c r="J245" s="6" t="inlineStr"/>
      <c r="K245" s="6" t="inlineStr">
        <is>
          <t>가설 B(직선 투망)</t>
        </is>
      </c>
      <c r="L245" s="6" t="inlineStr">
        <is>
          <t>O</t>
        </is>
      </c>
      <c r="M245" s="6" t="inlineStr">
        <is>
          <t>O</t>
        </is>
      </c>
      <c r="N245" s="6" t="inlineStr"/>
      <c r="O245" s="12" t="n">
        <v>1</v>
      </c>
      <c r="P245" s="12" t="n">
        <v>0</v>
      </c>
      <c r="Q245" s="6" t="n">
        <v>142</v>
      </c>
      <c r="R245" s="6" t="n">
        <v>286</v>
      </c>
      <c r="S245" s="6" t="inlineStr"/>
    </row>
    <row r="246">
      <c r="A246" s="6" t="n">
        <v>245</v>
      </c>
      <c r="B246" s="6" t="inlineStr">
        <is>
          <t>mv_path_over_diag_std</t>
        </is>
      </c>
      <c r="C246" s="6" t="inlineStr">
        <is>
          <t>경로형태·직선투망(B)</t>
        </is>
      </c>
      <c r="D246" s="6" t="inlineStr">
        <is>
          <t>경로 반복도</t>
        </is>
      </c>
      <c r="E246" s="6" t="inlineStr">
        <is>
          <t>path_over_diag</t>
        </is>
      </c>
      <c r="F246" s="7" t="inlineStr">
        <is>
          <t>경로길이/범위 대각선: 같은 곳을 반복할수록 큼</t>
        </is>
      </c>
      <c r="G246" s="7" t="inlineStr">
        <is>
          <t>출어일마다 이동 시간대 평균 → 출어일들의 표준편차(날짜 간 변동)</t>
        </is>
      </c>
      <c r="H246" s="6" t="inlineStr">
        <is>
          <t>L1→L2→L3</t>
        </is>
      </c>
      <c r="I246" s="6" t="inlineStr">
        <is>
          <t>나연</t>
        </is>
      </c>
      <c r="J246" s="6" t="inlineStr"/>
      <c r="K246" s="6" t="inlineStr">
        <is>
          <t>가설 B(직선 투망)</t>
        </is>
      </c>
      <c r="L246" s="6" t="inlineStr">
        <is>
          <t>O</t>
        </is>
      </c>
      <c r="M246" s="6" t="inlineStr">
        <is>
          <t>O</t>
        </is>
      </c>
      <c r="N246" s="6" t="inlineStr"/>
      <c r="O246" s="12" t="n">
        <v>1</v>
      </c>
      <c r="P246" s="12" t="n">
        <v>0</v>
      </c>
      <c r="Q246" s="6" t="n">
        <v>32</v>
      </c>
      <c r="R246" s="6" t="n">
        <v>232</v>
      </c>
      <c r="S246" s="6" t="inlineStr"/>
    </row>
    <row r="247">
      <c r="A247" s="6" t="n">
        <v>246</v>
      </c>
      <c r="B247" s="6" t="inlineStr">
        <is>
          <t>mv_n_stop_move_switch_std</t>
        </is>
      </c>
      <c r="C247" s="6" t="inlineStr">
        <is>
          <t>시간 사용·항차</t>
        </is>
      </c>
      <c r="D247" s="6" t="inlineStr">
        <is>
          <t>상태 전환</t>
        </is>
      </c>
      <c r="E247" s="6" t="inlineStr">
        <is>
          <t>n_stop_move_switch</t>
        </is>
      </c>
      <c r="F247" s="7" t="inlineStr">
        <is>
          <t>정지↔이동 전환 횟수</t>
        </is>
      </c>
      <c r="G247" s="7" t="inlineStr">
        <is>
          <t>출어일마다 이동 시간대 평균 → 출어일들의 표준편차(날짜 간 변동)</t>
        </is>
      </c>
      <c r="H247" s="6" t="inlineStr">
        <is>
          <t>L1→L2→L3</t>
        </is>
      </c>
      <c r="I247" s="6" t="inlineStr">
        <is>
          <t>나연</t>
        </is>
      </c>
      <c r="J247" s="6" t="inlineStr"/>
      <c r="K247" s="6" t="inlineStr">
        <is>
          <t>가설 G(이질성: 날짜 간 표준편차)</t>
        </is>
      </c>
      <c r="L247" s="6" t="inlineStr">
        <is>
          <t>O</t>
        </is>
      </c>
      <c r="M247" s="6" t="inlineStr">
        <is>
          <t>O</t>
        </is>
      </c>
      <c r="N247" s="6" t="inlineStr"/>
      <c r="O247" s="12" t="n">
        <v>1</v>
      </c>
      <c r="P247" s="12" t="n">
        <v>0</v>
      </c>
      <c r="Q247" s="6" t="n">
        <v>106</v>
      </c>
      <c r="R247" s="6" t="n">
        <v>244</v>
      </c>
      <c r="S247" s="6" t="inlineStr"/>
    </row>
    <row r="248">
      <c r="A248" s="6" t="n">
        <v>247</v>
      </c>
      <c r="B248" s="6" t="inlineStr">
        <is>
          <t>mv_rg_m_std</t>
        </is>
      </c>
      <c r="C248" s="6" t="inlineStr">
        <is>
          <t>이동량·공간범위</t>
        </is>
      </c>
      <c r="D248" s="6" t="inlineStr">
        <is>
          <t>활동 범위(1시간)</t>
        </is>
      </c>
      <c r="E248" s="6" t="inlineStr">
        <is>
          <t>rg_m</t>
        </is>
      </c>
      <c r="F248" s="7" t="inlineStr">
        <is>
          <t>회전반경: 중심에서 퍼진 정도(m)</t>
        </is>
      </c>
      <c r="G248" s="7" t="inlineStr">
        <is>
          <t>출어일마다 이동 시간대 평균 → 출어일들의 표준편차(날짜 간 변동)</t>
        </is>
      </c>
      <c r="H248" s="6" t="inlineStr">
        <is>
          <t>L1→L2→L3</t>
        </is>
      </c>
      <c r="I248" s="6" t="inlineStr">
        <is>
          <t>민성·나연·진우</t>
        </is>
      </c>
      <c r="J248" s="6" t="inlineStr"/>
      <c r="K248" s="6" t="inlineStr">
        <is>
          <t>가설 G(이질성: 날짜 간 표준편차)</t>
        </is>
      </c>
      <c r="L248" s="6" t="inlineStr">
        <is>
          <t>O</t>
        </is>
      </c>
      <c r="M248" s="6" t="inlineStr">
        <is>
          <t>O</t>
        </is>
      </c>
      <c r="N248" s="6" t="inlineStr"/>
      <c r="O248" s="12" t="n">
        <v>0.2</v>
      </c>
      <c r="P248" s="12" t="n">
        <v>0.2</v>
      </c>
      <c r="Q248" s="6" t="n">
        <v>278</v>
      </c>
      <c r="R248" s="6" t="n">
        <v>73</v>
      </c>
      <c r="S248" s="6" t="inlineStr">
        <is>
          <t>mv_ks_straight_max_m_std</t>
        </is>
      </c>
    </row>
    <row r="249">
      <c r="A249" s="6" t="n">
        <v>248</v>
      </c>
      <c r="B249" s="6" t="inlineStr">
        <is>
          <t>mv_rg_med_m_std</t>
        </is>
      </c>
      <c r="C249" s="6" t="inlineStr">
        <is>
          <t>이동량·공간범위</t>
        </is>
      </c>
      <c r="D249" s="6" t="inlineStr">
        <is>
          <t>활동 범위(1시간)</t>
        </is>
      </c>
      <c r="E249" s="6" t="inlineStr">
        <is>
          <t>rg_med_m</t>
        </is>
      </c>
      <c r="F249" s="7" t="inlineStr">
        <is>
          <t>중앙 반경: 중앙점까지 거리의 중앙값(m, 지터 강건)</t>
        </is>
      </c>
      <c r="G249" s="7" t="inlineStr">
        <is>
          <t>출어일마다 이동 시간대 평균 → 출어일들의 표준편차(날짜 간 변동)</t>
        </is>
      </c>
      <c r="H249" s="6" t="inlineStr">
        <is>
          <t>L1→L2→L3</t>
        </is>
      </c>
      <c r="I249" s="6" t="inlineStr">
        <is>
          <t>민성</t>
        </is>
      </c>
      <c r="J249" s="6" t="inlineStr"/>
      <c r="K249" s="6" t="inlineStr">
        <is>
          <t>가설 G(이질성: 날짜 간 표준편차)</t>
        </is>
      </c>
      <c r="L249" s="6" t="inlineStr">
        <is>
          <t>O</t>
        </is>
      </c>
      <c r="M249" s="6" t="inlineStr">
        <is>
          <t>O</t>
        </is>
      </c>
      <c r="N249" s="6" t="inlineStr"/>
      <c r="O249" s="12" t="n">
        <v>1</v>
      </c>
      <c r="P249" s="12" t="n">
        <v>0.2</v>
      </c>
      <c r="Q249" s="6" t="n">
        <v>10</v>
      </c>
      <c r="R249" s="6" t="n">
        <v>46</v>
      </c>
      <c r="S249" s="6" t="inlineStr"/>
    </row>
    <row r="250">
      <c r="A250" s="6" t="n">
        <v>249</v>
      </c>
      <c r="B250" s="6" t="inlineStr">
        <is>
          <t>mv_bbox_diag_m_std</t>
        </is>
      </c>
      <c r="C250" s="6" t="inlineStr">
        <is>
          <t>이동량·공간범위</t>
        </is>
      </c>
      <c r="D250" s="6" t="inlineStr">
        <is>
          <t>활동 범위(1시간)</t>
        </is>
      </c>
      <c r="E250" s="6" t="inlineStr">
        <is>
          <t>bbox_diag_m</t>
        </is>
      </c>
      <c r="F250" s="7" t="inlineStr">
        <is>
          <t>활동 사각형 대각선(m)</t>
        </is>
      </c>
      <c r="G250" s="7" t="inlineStr">
        <is>
          <t>출어일마다 이동 시간대 평균 → 출어일들의 표준편차(날짜 간 변동)</t>
        </is>
      </c>
      <c r="H250" s="6" t="inlineStr">
        <is>
          <t>L1→L2→L3</t>
        </is>
      </c>
      <c r="I250" s="6" t="inlineStr">
        <is>
          <t>나연</t>
        </is>
      </c>
      <c r="J250" s="6" t="inlineStr"/>
      <c r="K250" s="6" t="inlineStr">
        <is>
          <t>가설 G(이질성: 날짜 간 표준편차)</t>
        </is>
      </c>
      <c r="L250" s="6" t="inlineStr">
        <is>
          <t>O</t>
        </is>
      </c>
      <c r="M250" s="6" t="inlineStr">
        <is>
          <t>O</t>
        </is>
      </c>
      <c r="N250" s="6" t="inlineStr"/>
      <c r="O250" s="12" t="n">
        <v>0.8</v>
      </c>
      <c r="P250" s="12" t="n">
        <v>0</v>
      </c>
      <c r="Q250" s="6" t="n">
        <v>204</v>
      </c>
      <c r="R250" s="6" t="n">
        <v>118</v>
      </c>
      <c r="S250" s="6" t="inlineStr">
        <is>
          <t>mv_rg_m_std</t>
        </is>
      </c>
    </row>
    <row r="251">
      <c r="A251" s="6" t="n">
        <v>250</v>
      </c>
      <c r="B251" s="6" t="inlineStr">
        <is>
          <t>mv_bbox_aspect_std</t>
        </is>
      </c>
      <c r="C251" s="6" t="inlineStr">
        <is>
          <t>경로형태·직선투망(B)</t>
        </is>
      </c>
      <c r="D251" s="6" t="inlineStr">
        <is>
          <t>직선 투망 형상</t>
        </is>
      </c>
      <c r="E251" s="6" t="inlineStr">
        <is>
          <t>bbox_aspect</t>
        </is>
      </c>
      <c r="F251" s="7" t="inlineStr">
        <is>
          <t>활동 사각형 가로세로비: 길쭉할수록 큼</t>
        </is>
      </c>
      <c r="G251" s="7" t="inlineStr">
        <is>
          <t>출어일마다 이동 시간대 평균 → 출어일들의 표준편차(날짜 간 변동)</t>
        </is>
      </c>
      <c r="H251" s="6" t="inlineStr">
        <is>
          <t>L1→L2→L3</t>
        </is>
      </c>
      <c r="I251" s="6" t="inlineStr">
        <is>
          <t>나연</t>
        </is>
      </c>
      <c r="J251" s="6" t="inlineStr"/>
      <c r="K251" s="6" t="inlineStr">
        <is>
          <t>가설 B(직선 투망)</t>
        </is>
      </c>
      <c r="L251" s="6" t="inlineStr">
        <is>
          <t>O</t>
        </is>
      </c>
      <c r="M251" s="6" t="inlineStr">
        <is>
          <t>O</t>
        </is>
      </c>
      <c r="N251" s="6" t="inlineStr"/>
      <c r="O251" s="12" t="n">
        <v>1</v>
      </c>
      <c r="P251" s="12" t="n">
        <v>0</v>
      </c>
      <c r="Q251" s="6" t="n">
        <v>38</v>
      </c>
      <c r="R251" s="6" t="n">
        <v>146</v>
      </c>
      <c r="S251" s="6" t="inlineStr"/>
    </row>
    <row r="252">
      <c r="A252" s="6" t="n">
        <v>251</v>
      </c>
      <c r="B252" s="6" t="inlineStr">
        <is>
          <t>mv_hull_area_m2_std</t>
        </is>
      </c>
      <c r="C252" s="6" t="inlineStr">
        <is>
          <t>이동량·공간범위</t>
        </is>
      </c>
      <c r="D252" s="6" t="inlineStr">
        <is>
          <t>활동 범위(1시간)</t>
        </is>
      </c>
      <c r="E252" s="6" t="inlineStr">
        <is>
          <t>hull_area_m2</t>
        </is>
      </c>
      <c r="F252" s="7" t="inlineStr">
        <is>
          <t>볼록껍질 면적(m²)</t>
        </is>
      </c>
      <c r="G252" s="7" t="inlineStr">
        <is>
          <t>출어일마다 이동 시간대 평균 → 출어일들의 표준편차(날짜 간 변동)</t>
        </is>
      </c>
      <c r="H252" s="6" t="inlineStr">
        <is>
          <t>L1→L2→L3</t>
        </is>
      </c>
      <c r="I252" s="6" t="inlineStr">
        <is>
          <t>지유·민성</t>
        </is>
      </c>
      <c r="J252" s="6" t="inlineStr"/>
      <c r="K252" s="6" t="inlineStr">
        <is>
          <t>가설 G(이질성: 날짜 간 표준편차)</t>
        </is>
      </c>
      <c r="L252" s="6" t="inlineStr">
        <is>
          <t>O</t>
        </is>
      </c>
      <c r="M252" s="6" t="inlineStr">
        <is>
          <t>O</t>
        </is>
      </c>
      <c r="N252" s="6" t="inlineStr"/>
      <c r="O252" s="12" t="n">
        <v>1</v>
      </c>
      <c r="P252" s="12" t="n">
        <v>0</v>
      </c>
      <c r="Q252" s="6" t="n">
        <v>175</v>
      </c>
      <c r="R252" s="6" t="n">
        <v>322</v>
      </c>
      <c r="S252" s="6" t="inlineStr"/>
    </row>
    <row r="253">
      <c r="A253" s="6" t="n">
        <v>252</v>
      </c>
      <c r="B253" s="6" t="inlineStr">
        <is>
          <t>mv_uniq_pos_ratio_std</t>
        </is>
      </c>
      <c r="C253" s="6" t="inlineStr">
        <is>
          <t>품질·기록량</t>
        </is>
      </c>
      <c r="D253" s="6" t="inlineStr">
        <is>
          <t>기록량</t>
        </is>
      </c>
      <c r="E253" s="6" t="inlineStr">
        <is>
          <t>uniq_pos_ratio</t>
        </is>
      </c>
      <c r="F253" s="7" t="inlineStr">
        <is>
          <t>고유 위치(10m 격자) 비율: 낮으면 제자리</t>
        </is>
      </c>
      <c r="G253" s="7" t="inlineStr">
        <is>
          <t>출어일마다 이동 시간대 평균 → 출어일들의 표준편차(날짜 간 변동)</t>
        </is>
      </c>
      <c r="H253" s="6" t="inlineStr">
        <is>
          <t>L1→L2→L3</t>
        </is>
      </c>
      <c r="I253" s="6" t="inlineStr">
        <is>
          <t>나연</t>
        </is>
      </c>
      <c r="J253" s="6" t="inlineStr"/>
      <c r="K253" s="6" t="inlineStr">
        <is>
          <t>가설 G(이질성: 날짜 간 표준편차)</t>
        </is>
      </c>
      <c r="L253" s="6" t="inlineStr">
        <is>
          <t>O</t>
        </is>
      </c>
      <c r="M253" s="6" t="inlineStr">
        <is>
          <t>O</t>
        </is>
      </c>
      <c r="N253" s="6" t="inlineStr"/>
      <c r="O253" s="12" t="n">
        <v>1</v>
      </c>
      <c r="P253" s="12" t="n">
        <v>0</v>
      </c>
      <c r="Q253" s="6" t="n">
        <v>141</v>
      </c>
      <c r="R253" s="6" t="n">
        <v>168</v>
      </c>
      <c r="S253" s="6" t="inlineStr"/>
    </row>
    <row r="254">
      <c r="A254" s="6" t="n">
        <v>253</v>
      </c>
      <c r="B254" s="6" t="inlineStr">
        <is>
          <t>mv_pca_elong_std</t>
        </is>
      </c>
      <c r="C254" s="6" t="inlineStr">
        <is>
          <t>경로형태·직선투망(B)</t>
        </is>
      </c>
      <c r="D254" s="6" t="inlineStr">
        <is>
          <t>직선 투망 형상</t>
        </is>
      </c>
      <c r="E254" s="6" t="inlineStr">
        <is>
          <t>pca_elong</t>
        </is>
      </c>
      <c r="F254" s="7" t="inlineStr">
        <is>
          <t>PCA 연신율 log(1+λ1/λ2): 직선 모양일수록 큼</t>
        </is>
      </c>
      <c r="G254" s="7" t="inlineStr">
        <is>
          <t>출어일마다 이동 시간대 평균 → 출어일들의 표준편차(날짜 간 변동)</t>
        </is>
      </c>
      <c r="H254" s="6" t="inlineStr">
        <is>
          <t>L1→L2→L3</t>
        </is>
      </c>
      <c r="I254" s="6" t="inlineStr">
        <is>
          <t>가설 B</t>
        </is>
      </c>
      <c r="J254" s="6" t="inlineStr"/>
      <c r="K254" s="6" t="inlineStr">
        <is>
          <t>가설 B(직선 투망)</t>
        </is>
      </c>
      <c r="L254" s="6" t="inlineStr">
        <is>
          <t>O</t>
        </is>
      </c>
      <c r="M254" s="6" t="inlineStr">
        <is>
          <t>O</t>
        </is>
      </c>
      <c r="N254" s="6" t="inlineStr"/>
      <c r="O254" s="12" t="n">
        <v>1</v>
      </c>
      <c r="P254" s="12" t="n">
        <v>0</v>
      </c>
      <c r="Q254" s="6" t="n">
        <v>60</v>
      </c>
      <c r="R254" s="6" t="n">
        <v>163</v>
      </c>
      <c r="S254" s="6" t="inlineStr"/>
    </row>
    <row r="255">
      <c r="A255" s="6" t="n">
        <v>254</v>
      </c>
      <c r="B255" s="6" t="inlineStr">
        <is>
          <t>mv_seg_sinuosity_mean_std</t>
        </is>
      </c>
      <c r="C255" s="6" t="inlineStr">
        <is>
          <t>경로형태·직선투망(B)</t>
        </is>
      </c>
      <c r="D255" s="6" t="inlineStr">
        <is>
          <t>직진도·구불거림</t>
        </is>
      </c>
      <c r="E255" s="6" t="inlineStr">
        <is>
          <t>seg_sinuosity_mean</t>
        </is>
      </c>
      <c r="F255" s="7" t="inlineStr">
        <is>
          <t>구간별 구불거림 평균 (변위 100m 이상 구간)</t>
        </is>
      </c>
      <c r="G255" s="7" t="inlineStr">
        <is>
          <t>출어일마다 이동 시간대 평균 → 출어일들의 표준편차(날짜 간 변동)</t>
        </is>
      </c>
      <c r="H255" s="6" t="inlineStr">
        <is>
          <t>L1→L2→L3</t>
        </is>
      </c>
      <c r="I255" s="6" t="inlineStr">
        <is>
          <t>지유</t>
        </is>
      </c>
      <c r="J255" s="6" t="inlineStr"/>
      <c r="K255" s="6" t="inlineStr">
        <is>
          <t>가설 B(직선 투망)</t>
        </is>
      </c>
      <c r="L255" s="6" t="inlineStr">
        <is>
          <t>O</t>
        </is>
      </c>
      <c r="M255" s="6" t="inlineStr">
        <is>
          <t>O</t>
        </is>
      </c>
      <c r="N255" s="6" t="inlineStr"/>
      <c r="O255" s="12" t="n">
        <v>1</v>
      </c>
      <c r="P255" s="12" t="n">
        <v>0</v>
      </c>
      <c r="Q255" s="6" t="n">
        <v>36</v>
      </c>
      <c r="R255" s="6" t="n">
        <v>207</v>
      </c>
      <c r="S255" s="6" t="inlineStr"/>
    </row>
    <row r="256">
      <c r="A256" s="6" t="n">
        <v>255</v>
      </c>
      <c r="B256" s="6" t="inlineStr">
        <is>
          <t>mv_ks_speed_med_std</t>
        </is>
      </c>
      <c r="C256" s="6" t="inlineStr">
        <is>
          <t>속도 구조(C)</t>
        </is>
      </c>
      <c r="D256" s="6" t="inlineStr">
        <is>
          <t>5-step 강건 속도</t>
        </is>
      </c>
      <c r="E256" s="6" t="inlineStr">
        <is>
          <t>ks_speed_med</t>
        </is>
      </c>
      <c r="F256" s="7" t="inlineStr">
        <is>
          <t>5-step 속도 중앙값(kn)</t>
        </is>
      </c>
      <c r="G256" s="7" t="inlineStr">
        <is>
          <t>출어일마다 이동 시간대 평균 → 출어일들의 표준편차(날짜 간 변동)</t>
        </is>
      </c>
      <c r="H256" s="6" t="inlineStr">
        <is>
          <t>L1→L2→L3</t>
        </is>
      </c>
      <c r="I256" s="6" t="inlineStr">
        <is>
          <t>민성</t>
        </is>
      </c>
      <c r="J256" s="6" t="inlineStr"/>
      <c r="K256" s="6" t="inlineStr">
        <is>
          <t>가설 C(속도 구조)</t>
        </is>
      </c>
      <c r="L256" s="6" t="inlineStr">
        <is>
          <t>O</t>
        </is>
      </c>
      <c r="M256" s="6" t="inlineStr">
        <is>
          <t>O</t>
        </is>
      </c>
      <c r="N256" s="6" t="inlineStr"/>
      <c r="O256" s="12" t="n">
        <v>1</v>
      </c>
      <c r="P256" s="12" t="n">
        <v>0</v>
      </c>
      <c r="Q256" s="6" t="n">
        <v>31</v>
      </c>
      <c r="R256" s="6" t="n">
        <v>126</v>
      </c>
      <c r="S256" s="6" t="inlineStr"/>
    </row>
    <row r="257">
      <c r="A257" s="6" t="n">
        <v>256</v>
      </c>
      <c r="B257" s="6" t="inlineStr">
        <is>
          <t>mv_ks_speed_p90_std</t>
        </is>
      </c>
      <c r="C257" s="6" t="inlineStr">
        <is>
          <t>속도 구조(C)</t>
        </is>
      </c>
      <c r="D257" s="6" t="inlineStr">
        <is>
          <t>5-step 강건 속도</t>
        </is>
      </c>
      <c r="E257" s="6" t="inlineStr">
        <is>
          <t>ks_speed_p90</t>
        </is>
      </c>
      <c r="F257" s="7" t="inlineStr">
        <is>
          <t>5-step 속도 90% 분위</t>
        </is>
      </c>
      <c r="G257" s="7" t="inlineStr">
        <is>
          <t>출어일마다 이동 시간대 평균 → 출어일들의 표준편차(날짜 간 변동)</t>
        </is>
      </c>
      <c r="H257" s="6" t="inlineStr">
        <is>
          <t>L1→L2→L3</t>
        </is>
      </c>
      <c r="I257" s="6" t="inlineStr">
        <is>
          <t>민성</t>
        </is>
      </c>
      <c r="J257" s="6" t="inlineStr"/>
      <c r="K257" s="6" t="inlineStr">
        <is>
          <t>가설 C(속도 구조)</t>
        </is>
      </c>
      <c r="L257" s="6" t="inlineStr">
        <is>
          <t>O</t>
        </is>
      </c>
      <c r="M257" s="6" t="inlineStr">
        <is>
          <t>O</t>
        </is>
      </c>
      <c r="N257" s="6" t="inlineStr"/>
      <c r="O257" s="12" t="n">
        <v>1</v>
      </c>
      <c r="P257" s="12" t="n">
        <v>0</v>
      </c>
      <c r="Q257" s="6" t="n">
        <v>45</v>
      </c>
      <c r="R257" s="6" t="n">
        <v>193</v>
      </c>
      <c r="S257" s="6" t="inlineStr"/>
    </row>
    <row r="258">
      <c r="A258" s="6" t="n">
        <v>257</v>
      </c>
      <c r="B258" s="6" t="inlineStr">
        <is>
          <t>mv_ks_heading_R_std</t>
        </is>
      </c>
      <c r="C258" s="6" t="inlineStr">
        <is>
          <t>방향·회전(D)</t>
        </is>
      </c>
      <c r="D258" s="6" t="inlineStr">
        <is>
          <t>방향 일관성</t>
        </is>
      </c>
      <c r="E258" s="6" t="inlineStr">
        <is>
          <t>ks_heading_R</t>
        </is>
      </c>
      <c r="F258" s="7" t="inlineStr">
        <is>
          <t>5-step 방향 일관성</t>
        </is>
      </c>
      <c r="G258" s="7" t="inlineStr">
        <is>
          <t>출어일마다 이동 시간대 평균 → 출어일들의 표준편차(날짜 간 변동)</t>
        </is>
      </c>
      <c r="H258" s="6" t="inlineStr">
        <is>
          <t>L1→L2→L3</t>
        </is>
      </c>
      <c r="I258" s="6" t="inlineStr">
        <is>
          <t>민성</t>
        </is>
      </c>
      <c r="J258" s="6" t="inlineStr"/>
      <c r="K258" s="6" t="inlineStr">
        <is>
          <t>가설 D(선회)</t>
        </is>
      </c>
      <c r="L258" s="6" t="inlineStr">
        <is>
          <t>O</t>
        </is>
      </c>
      <c r="M258" s="6" t="inlineStr">
        <is>
          <t>O</t>
        </is>
      </c>
      <c r="N258" s="6" t="inlineStr"/>
      <c r="O258" s="12" t="n">
        <v>1</v>
      </c>
      <c r="P258" s="12" t="n">
        <v>0</v>
      </c>
      <c r="Q258" s="6" t="n">
        <v>48</v>
      </c>
      <c r="R258" s="6" t="n">
        <v>140</v>
      </c>
      <c r="S258" s="6" t="inlineStr"/>
    </row>
    <row r="259">
      <c r="A259" s="6" t="n">
        <v>258</v>
      </c>
      <c r="B259" s="6" t="inlineStr">
        <is>
          <t>mv_ks_turn_med_std</t>
        </is>
      </c>
      <c r="C259" s="6" t="inlineStr">
        <is>
          <t>방향·회전(D)</t>
        </is>
      </c>
      <c r="D259" s="6" t="inlineStr">
        <is>
          <t>회전각</t>
        </is>
      </c>
      <c r="E259" s="6" t="inlineStr">
        <is>
          <t>ks_turn_med</t>
        </is>
      </c>
      <c r="F259" s="7" t="inlineStr">
        <is>
          <t>5-step 회전각 중앙값(°)</t>
        </is>
      </c>
      <c r="G259" s="7" t="inlineStr">
        <is>
          <t>출어일마다 이동 시간대 평균 → 출어일들의 표준편차(날짜 간 변동)</t>
        </is>
      </c>
      <c r="H259" s="6" t="inlineStr">
        <is>
          <t>L1→L2→L3</t>
        </is>
      </c>
      <c r="I259" s="6" t="inlineStr">
        <is>
          <t>민성</t>
        </is>
      </c>
      <c r="J259" s="6" t="inlineStr"/>
      <c r="K259" s="6" t="inlineStr">
        <is>
          <t>가설 D(선회)</t>
        </is>
      </c>
      <c r="L259" s="6" t="inlineStr">
        <is>
          <t>O</t>
        </is>
      </c>
      <c r="M259" s="6" t="inlineStr">
        <is>
          <t>O</t>
        </is>
      </c>
      <c r="N259" s="6" t="inlineStr"/>
      <c r="O259" s="12" t="n">
        <v>1</v>
      </c>
      <c r="P259" s="12" t="n">
        <v>0</v>
      </c>
      <c r="Q259" s="6" t="n">
        <v>57</v>
      </c>
      <c r="R259" s="6" t="n">
        <v>202</v>
      </c>
      <c r="S259" s="6" t="inlineStr"/>
    </row>
    <row r="260">
      <c r="A260" s="13" t="n">
        <v>259</v>
      </c>
      <c r="B260" s="13" t="inlineStr">
        <is>
          <t>mv_ks_straight_max_m_std</t>
        </is>
      </c>
      <c r="C260" s="13" t="inlineStr">
        <is>
          <t>경로형태·직선투망(B)</t>
        </is>
      </c>
      <c r="D260" s="13" t="inlineStr">
        <is>
          <t>직선 투망 형상</t>
        </is>
      </c>
      <c r="E260" s="13" t="inlineStr">
        <is>
          <t>ks_straight_max_m</t>
        </is>
      </c>
      <c r="F260" s="14" t="inlineStr">
        <is>
          <t>5-step 최장 직선 이동(m, 회전 15° 미만 연속) = 투망 길이 추정</t>
        </is>
      </c>
      <c r="G260" s="14" t="inlineStr">
        <is>
          <t>출어일마다 이동 시간대 평균 → 출어일들의 표준편차(날짜 간 변동)</t>
        </is>
      </c>
      <c r="H260" s="13" t="inlineStr">
        <is>
          <t>L1→L2→L3</t>
        </is>
      </c>
      <c r="I260" s="13" t="inlineStr">
        <is>
          <t>민성·가설 B</t>
        </is>
      </c>
      <c r="J260" s="13" t="inlineStr"/>
      <c r="K260" s="13" t="inlineStr">
        <is>
          <t>가설 B(직선 투망)</t>
        </is>
      </c>
      <c r="L260" s="13" t="inlineStr">
        <is>
          <t>O</t>
        </is>
      </c>
      <c r="M260" s="13" t="inlineStr">
        <is>
          <t>O</t>
        </is>
      </c>
      <c r="N260" s="13" t="inlineStr">
        <is>
          <t>O</t>
        </is>
      </c>
      <c r="O260" s="15" t="n">
        <v>1</v>
      </c>
      <c r="P260" s="15" t="n">
        <v>0.8</v>
      </c>
      <c r="Q260" s="13" t="n">
        <v>7</v>
      </c>
      <c r="R260" s="13" t="n">
        <v>9</v>
      </c>
      <c r="S260" s="13" t="inlineStr"/>
    </row>
    <row r="261">
      <c r="A261" s="6" t="n">
        <v>260</v>
      </c>
      <c r="B261" s="6" t="inlineStr">
        <is>
          <t>mv_slow_run_max_min_std</t>
        </is>
      </c>
      <c r="C261" s="6" t="inlineStr">
        <is>
          <t>속도 구조(C)</t>
        </is>
      </c>
      <c r="D261" s="6" t="inlineStr">
        <is>
          <t>저속 연속·속도 다양성</t>
        </is>
      </c>
      <c r="E261" s="6" t="inlineStr">
        <is>
          <t>slow_run_max_min</t>
        </is>
      </c>
      <c r="F261" s="7" t="inlineStr">
        <is>
          <t>저속(0.3~2kn) 최장 연속 시간(분) = 양망 추정</t>
        </is>
      </c>
      <c r="G261" s="7" t="inlineStr">
        <is>
          <t>출어일마다 이동 시간대 평균 → 출어일들의 표준편차(날짜 간 변동)</t>
        </is>
      </c>
      <c r="H261" s="6" t="inlineStr">
        <is>
          <t>L1→L2→L3</t>
        </is>
      </c>
      <c r="I261" s="6" t="inlineStr">
        <is>
          <t>가설 C</t>
        </is>
      </c>
      <c r="J261" s="6" t="inlineStr"/>
      <c r="K261" s="6" t="inlineStr">
        <is>
          <t>가설 C(속도 구조)</t>
        </is>
      </c>
      <c r="L261" s="6" t="inlineStr">
        <is>
          <t>O</t>
        </is>
      </c>
      <c r="M261" s="6" t="inlineStr">
        <is>
          <t>O</t>
        </is>
      </c>
      <c r="N261" s="6" t="inlineStr"/>
      <c r="O261" s="12" t="n">
        <v>1</v>
      </c>
      <c r="P261" s="12" t="n">
        <v>0</v>
      </c>
      <c r="Q261" s="6" t="n">
        <v>127</v>
      </c>
      <c r="R261" s="6" t="n">
        <v>230</v>
      </c>
      <c r="S261" s="6" t="inlineStr"/>
    </row>
    <row r="262">
      <c r="A262" s="6" t="n">
        <v>261</v>
      </c>
      <c r="B262" s="6" t="inlineStr">
        <is>
          <t>mv_speed_entropy_std</t>
        </is>
      </c>
      <c r="C262" s="6" t="inlineStr">
        <is>
          <t>속도 구조(C)</t>
        </is>
      </c>
      <c r="D262" s="6" t="inlineStr">
        <is>
          <t>저속 연속·속도 다양성</t>
        </is>
      </c>
      <c r="E262" s="6" t="inlineStr">
        <is>
          <t>speed_entropy</t>
        </is>
      </c>
      <c r="F262" s="7" t="inlineStr">
        <is>
          <t>속도 구간 분포 엔트로피: 여러 속도를 섞어 쓸수록 큼</t>
        </is>
      </c>
      <c r="G262" s="7" t="inlineStr">
        <is>
          <t>출어일마다 이동 시간대 평균 → 출어일들의 표준편차(날짜 간 변동)</t>
        </is>
      </c>
      <c r="H262" s="6" t="inlineStr">
        <is>
          <t>L1→L2→L3</t>
        </is>
      </c>
      <c r="I262" s="6" t="inlineStr">
        <is>
          <t>가설 C</t>
        </is>
      </c>
      <c r="J262" s="6" t="inlineStr"/>
      <c r="K262" s="6" t="inlineStr">
        <is>
          <t>가설 C(속도 구조)</t>
        </is>
      </c>
      <c r="L262" s="6" t="inlineStr">
        <is>
          <t>O</t>
        </is>
      </c>
      <c r="M262" s="6" t="inlineStr">
        <is>
          <t>O</t>
        </is>
      </c>
      <c r="N262" s="6" t="inlineStr"/>
      <c r="O262" s="12" t="n">
        <v>1</v>
      </c>
      <c r="P262" s="12" t="n">
        <v>0.2</v>
      </c>
      <c r="Q262" s="6" t="n">
        <v>97</v>
      </c>
      <c r="R262" s="6" t="n">
        <v>71</v>
      </c>
      <c r="S262" s="6" t="inlineStr"/>
    </row>
    <row r="263">
      <c r="A263" s="6" t="n">
        <v>262</v>
      </c>
      <c r="B263" s="6" t="inlineStr">
        <is>
          <t>mv_n_stays_std</t>
        </is>
      </c>
      <c r="C263" s="6" t="inlineStr">
        <is>
          <t>체류점</t>
        </is>
      </c>
      <c r="D263" s="6" t="inlineStr">
        <is>
          <t>체류점</t>
        </is>
      </c>
      <c r="E263" s="6" t="inlineStr">
        <is>
          <t>n_stays</t>
        </is>
      </c>
      <c r="F263" s="7" t="inlineStr">
        <is>
          <t>체류점 횟수 (반경 30m 안에 3점 이상 머묾)</t>
        </is>
      </c>
      <c r="G263" s="7" t="inlineStr">
        <is>
          <t>출어일마다 이동 시간대 평균 → 출어일들의 표준편차(날짜 간 변동)</t>
        </is>
      </c>
      <c r="H263" s="6" t="inlineStr">
        <is>
          <t>L1→L2→L3</t>
        </is>
      </c>
      <c r="I263" s="6" t="inlineStr">
        <is>
          <t>민성</t>
        </is>
      </c>
      <c r="J263" s="6" t="inlineStr"/>
      <c r="K263" s="6" t="inlineStr">
        <is>
          <t>가설 G(이질성: 날짜 간 표준편차)</t>
        </is>
      </c>
      <c r="L263" s="6" t="inlineStr">
        <is>
          <t>O</t>
        </is>
      </c>
      <c r="M263" s="6" t="inlineStr">
        <is>
          <t>O</t>
        </is>
      </c>
      <c r="N263" s="6" t="inlineStr"/>
      <c r="O263" s="12" t="n">
        <v>1</v>
      </c>
      <c r="P263" s="12" t="n">
        <v>0</v>
      </c>
      <c r="Q263" s="6" t="n">
        <v>87</v>
      </c>
      <c r="R263" s="6" t="n">
        <v>139</v>
      </c>
      <c r="S263" s="6" t="inlineStr"/>
    </row>
    <row r="264">
      <c r="A264" s="6" t="n">
        <v>263</v>
      </c>
      <c r="B264" s="6" t="inlineStr">
        <is>
          <t>mv_stay_frac_std</t>
        </is>
      </c>
      <c r="C264" s="6" t="inlineStr">
        <is>
          <t>체류점</t>
        </is>
      </c>
      <c r="D264" s="6" t="inlineStr">
        <is>
          <t>체류점</t>
        </is>
      </c>
      <c r="E264" s="6" t="inlineStr">
        <is>
          <t>stay_frac</t>
        </is>
      </c>
      <c r="F264" s="7" t="inlineStr">
        <is>
          <t>체류점에 속한 점 비율</t>
        </is>
      </c>
      <c r="G264" s="7" t="inlineStr">
        <is>
          <t>출어일마다 이동 시간대 평균 → 출어일들의 표준편차(날짜 간 변동)</t>
        </is>
      </c>
      <c r="H264" s="6" t="inlineStr">
        <is>
          <t>L1→L2→L3</t>
        </is>
      </c>
      <c r="I264" s="6" t="inlineStr">
        <is>
          <t>민성</t>
        </is>
      </c>
      <c r="J264" s="6" t="inlineStr"/>
      <c r="K264" s="6" t="inlineStr">
        <is>
          <t>가설 G(이질성: 날짜 간 표준편차)</t>
        </is>
      </c>
      <c r="L264" s="6" t="inlineStr">
        <is>
          <t>O</t>
        </is>
      </c>
      <c r="M264" s="6" t="inlineStr">
        <is>
          <t>O</t>
        </is>
      </c>
      <c r="N264" s="6" t="inlineStr"/>
      <c r="O264" s="12" t="n">
        <v>1</v>
      </c>
      <c r="P264" s="12" t="n">
        <v>0</v>
      </c>
      <c r="Q264" s="6" t="n">
        <v>165</v>
      </c>
      <c r="R264" s="6" t="n">
        <v>192</v>
      </c>
      <c r="S264" s="6" t="inlineStr"/>
    </row>
    <row r="265">
      <c r="A265" s="6" t="n">
        <v>264</v>
      </c>
      <c r="B265" s="6" t="inlineStr">
        <is>
          <t>mv_spec_entropy_std</t>
        </is>
      </c>
      <c r="C265" s="6" t="inlineStr">
        <is>
          <t>속도 구조(C)</t>
        </is>
      </c>
      <c r="D265" s="6" t="inlineStr">
        <is>
          <t>이동 리듬(스펙트럼)</t>
        </is>
      </c>
      <c r="E265" s="6" t="inlineStr">
        <is>
          <t>spec_entropy</t>
        </is>
      </c>
      <c r="F265" s="7" t="inlineStr">
        <is>
          <t>step 길이 스펙트럼 엔트로피: 이동 리듬의 불규칙성</t>
        </is>
      </c>
      <c r="G265" s="7" t="inlineStr">
        <is>
          <t>출어일마다 이동 시간대 평균 → 출어일들의 표준편차(날짜 간 변동)</t>
        </is>
      </c>
      <c r="H265" s="6" t="inlineStr">
        <is>
          <t>L1→L2→L3</t>
        </is>
      </c>
      <c r="I265" s="6" t="inlineStr">
        <is>
          <t>진우</t>
        </is>
      </c>
      <c r="J265" s="6" t="inlineStr"/>
      <c r="K265" s="6" t="inlineStr">
        <is>
          <t>가설 C(속도 구조)</t>
        </is>
      </c>
      <c r="L265" s="6" t="inlineStr">
        <is>
          <t>O</t>
        </is>
      </c>
      <c r="M265" s="6" t="inlineStr">
        <is>
          <t>O</t>
        </is>
      </c>
      <c r="N265" s="6" t="inlineStr"/>
      <c r="O265" s="12" t="n">
        <v>1</v>
      </c>
      <c r="P265" s="12" t="n">
        <v>0</v>
      </c>
      <c r="Q265" s="6" t="n">
        <v>183</v>
      </c>
      <c r="R265" s="6" t="n">
        <v>221</v>
      </c>
      <c r="S265" s="6" t="inlineStr"/>
    </row>
    <row r="266">
      <c r="A266" s="6" t="n">
        <v>265</v>
      </c>
      <c r="B266" s="6" t="inlineStr">
        <is>
          <t>mv_lowfreq_ratio_std</t>
        </is>
      </c>
      <c r="C266" s="6" t="inlineStr">
        <is>
          <t>속도 구조(C)</t>
        </is>
      </c>
      <c r="D266" s="6" t="inlineStr">
        <is>
          <t>이동 리듬(스펙트럼)</t>
        </is>
      </c>
      <c r="E266" s="6" t="inlineStr">
        <is>
          <t>lowfreq_ratio</t>
        </is>
      </c>
      <c r="F266" s="7" t="inlineStr">
        <is>
          <t>step 저주파 에너지 비율: 느린 주기 변화의 비중</t>
        </is>
      </c>
      <c r="G266" s="7" t="inlineStr">
        <is>
          <t>출어일마다 이동 시간대 평균 → 출어일들의 표준편차(날짜 간 변동)</t>
        </is>
      </c>
      <c r="H266" s="6" t="inlineStr">
        <is>
          <t>L1→L2→L3</t>
        </is>
      </c>
      <c r="I266" s="6" t="inlineStr">
        <is>
          <t>진우</t>
        </is>
      </c>
      <c r="J266" s="6" t="inlineStr"/>
      <c r="K266" s="6" t="inlineStr">
        <is>
          <t>가설 C(속도 구조)</t>
        </is>
      </c>
      <c r="L266" s="6" t="inlineStr">
        <is>
          <t>O</t>
        </is>
      </c>
      <c r="M266" s="6" t="inlineStr">
        <is>
          <t>O</t>
        </is>
      </c>
      <c r="N266" s="6" t="inlineStr"/>
      <c r="O266" s="12" t="n">
        <v>1</v>
      </c>
      <c r="P266" s="12" t="n">
        <v>0</v>
      </c>
      <c r="Q266" s="6" t="n">
        <v>107</v>
      </c>
      <c r="R266" s="6" t="n">
        <v>184</v>
      </c>
      <c r="S266" s="6" t="inlineStr"/>
    </row>
    <row r="267">
      <c r="A267" s="6" t="n">
        <v>266</v>
      </c>
      <c r="B267" s="6" t="inlineStr">
        <is>
          <t>mv_step_cv_std</t>
        </is>
      </c>
      <c r="C267" s="6" t="inlineStr">
        <is>
          <t>속도 구조(C)</t>
        </is>
      </c>
      <c r="D267" s="6" t="inlineStr">
        <is>
          <t>점 간 step 크기</t>
        </is>
      </c>
      <c r="E267" s="6" t="inlineStr">
        <is>
          <t>step_cv</t>
        </is>
      </c>
      <c r="F267" s="7" t="inlineStr">
        <is>
          <t>step 변동계수: 이동 크기가 들쭉날쭉한 정도</t>
        </is>
      </c>
      <c r="G267" s="7" t="inlineStr">
        <is>
          <t>출어일마다 이동 시간대 평균 → 출어일들의 표준편차(날짜 간 변동)</t>
        </is>
      </c>
      <c r="H267" s="6" t="inlineStr">
        <is>
          <t>L1→L2→L3</t>
        </is>
      </c>
      <c r="I267" s="6" t="inlineStr">
        <is>
          <t>민성</t>
        </is>
      </c>
      <c r="J267" s="6" t="inlineStr"/>
      <c r="K267" s="6" t="inlineStr">
        <is>
          <t>가설 C(속도 구조)</t>
        </is>
      </c>
      <c r="L267" s="6" t="inlineStr">
        <is>
          <t>O</t>
        </is>
      </c>
      <c r="M267" s="6" t="inlineStr">
        <is>
          <t>O</t>
        </is>
      </c>
      <c r="N267" s="6" t="inlineStr"/>
      <c r="O267" s="12" t="n">
        <v>1</v>
      </c>
      <c r="P267" s="12" t="n">
        <v>0</v>
      </c>
      <c r="Q267" s="6" t="n">
        <v>72</v>
      </c>
      <c r="R267" s="6" t="n">
        <v>189</v>
      </c>
      <c r="S267" s="6" t="inlineStr"/>
    </row>
    <row r="268">
      <c r="A268" s="6" t="n">
        <v>267</v>
      </c>
      <c r="B268" s="6" t="inlineStr">
        <is>
          <t>mv_spike_ratio_std</t>
        </is>
      </c>
      <c r="C268" s="6" t="inlineStr">
        <is>
          <t>품질·기록량</t>
        </is>
      </c>
      <c r="D268" s="6" t="inlineStr">
        <is>
          <t>GPS 튐·정제</t>
        </is>
      </c>
      <c r="E268" s="6" t="inlineStr">
        <is>
          <t>spike_ratio</t>
        </is>
      </c>
      <c r="F268" s="7" t="inlineStr">
        <is>
          <t>튐 점 비율</t>
        </is>
      </c>
      <c r="G268" s="7" t="inlineStr">
        <is>
          <t>출어일마다 이동 시간대 평균 → 출어일들의 표준편차(날짜 간 변동)</t>
        </is>
      </c>
      <c r="H268" s="6" t="inlineStr">
        <is>
          <t>L1→L2→L3</t>
        </is>
      </c>
      <c r="I268" s="6" t="inlineStr">
        <is>
          <t>나연·지유</t>
        </is>
      </c>
      <c r="J268" s="6" t="inlineStr"/>
      <c r="K268" s="6" t="inlineStr">
        <is>
          <t>가설 G(이질성: 날짜 간 표준편차)</t>
        </is>
      </c>
      <c r="L268" s="6" t="inlineStr">
        <is>
          <t>O</t>
        </is>
      </c>
      <c r="M268" s="6" t="inlineStr">
        <is>
          <t>O</t>
        </is>
      </c>
      <c r="N268" s="6" t="inlineStr"/>
      <c r="O268" s="12" t="n">
        <v>1</v>
      </c>
      <c r="P268" s="12" t="n">
        <v>0</v>
      </c>
      <c r="Q268" s="6" t="n">
        <v>92</v>
      </c>
      <c r="R268" s="6" t="n">
        <v>210</v>
      </c>
      <c r="S268" s="6" t="inlineStr"/>
    </row>
    <row r="269">
      <c r="A269" s="6" t="n">
        <v>268</v>
      </c>
      <c r="B269" s="6" t="inlineStr">
        <is>
          <t>mv_raw_clean_ratio_std</t>
        </is>
      </c>
      <c r="C269" s="6" t="inlineStr">
        <is>
          <t>품질·기록량</t>
        </is>
      </c>
      <c r="D269" s="6" t="inlineStr">
        <is>
          <t>GPS 튐·정제</t>
        </is>
      </c>
      <c r="E269" s="6" t="inlineStr">
        <is>
          <t>raw_clean_ratio</t>
        </is>
      </c>
      <c r="F269" s="7" t="inlineStr">
        <is>
          <t>원거리 / 정제거리</t>
        </is>
      </c>
      <c r="G269" s="7" t="inlineStr">
        <is>
          <t>출어일마다 이동 시간대 평균 → 출어일들의 표준편차(날짜 간 변동)</t>
        </is>
      </c>
      <c r="H269" s="6" t="inlineStr">
        <is>
          <t>L1→L2→L3</t>
        </is>
      </c>
      <c r="I269" s="6" t="inlineStr">
        <is>
          <t>지유</t>
        </is>
      </c>
      <c r="J269" s="6" t="inlineStr"/>
      <c r="K269" s="6" t="inlineStr">
        <is>
          <t>가설 G(이질성: 날짜 간 표준편차)</t>
        </is>
      </c>
      <c r="L269" s="6" t="inlineStr">
        <is>
          <t>O</t>
        </is>
      </c>
      <c r="M269" s="6" t="inlineStr">
        <is>
          <t>O</t>
        </is>
      </c>
      <c r="N269" s="6" t="inlineStr"/>
      <c r="O269" s="12" t="n">
        <v>1</v>
      </c>
      <c r="P269" s="12" t="n">
        <v>0</v>
      </c>
      <c r="Q269" s="6" t="n">
        <v>54</v>
      </c>
      <c r="R269" s="6" t="n">
        <v>164</v>
      </c>
      <c r="S269" s="6" t="inlineStr"/>
    </row>
    <row r="270">
      <c r="A270" s="6" t="n">
        <v>269</v>
      </c>
      <c r="B270" s="6" t="inlineStr">
        <is>
          <t>mv_n_segments_std</t>
        </is>
      </c>
      <c r="C270" s="6" t="inlineStr">
        <is>
          <t>품질·기록량</t>
        </is>
      </c>
      <c r="D270" s="6" t="inlineStr">
        <is>
          <t>기록량</t>
        </is>
      </c>
      <c r="E270" s="6" t="inlineStr">
        <is>
          <t>n_segments</t>
        </is>
      </c>
      <c r="F270" s="7" t="inlineStr">
        <is>
          <t>MultiLineString 구간 수 (신호 끊김+1)</t>
        </is>
      </c>
      <c r="G270" s="7" t="inlineStr">
        <is>
          <t>출어일마다 이동 시간대 평균 → 출어일들의 표준편차(날짜 간 변동)</t>
        </is>
      </c>
      <c r="H270" s="6" t="inlineStr">
        <is>
          <t>L1→L2→L3</t>
        </is>
      </c>
      <c r="I270" s="6" t="inlineStr">
        <is>
          <t>지유·나연·진우</t>
        </is>
      </c>
      <c r="J270" s="6" t="inlineStr"/>
      <c r="K270" s="6" t="inlineStr">
        <is>
          <t>가설 G(이질성: 날짜 간 표준편차)</t>
        </is>
      </c>
      <c r="L270" s="6" t="inlineStr">
        <is>
          <t>O</t>
        </is>
      </c>
      <c r="M270" s="6" t="inlineStr">
        <is>
          <t>O</t>
        </is>
      </c>
      <c r="N270" s="6" t="inlineStr"/>
      <c r="O270" s="12" t="n">
        <v>1</v>
      </c>
      <c r="P270" s="12" t="n">
        <v>0</v>
      </c>
      <c r="Q270" s="6" t="n">
        <v>20</v>
      </c>
      <c r="R270" s="6" t="n">
        <v>156</v>
      </c>
      <c r="S270" s="6" t="inlineStr"/>
    </row>
    <row r="271">
      <c r="A271" s="6" t="n">
        <v>270</v>
      </c>
      <c r="B271" s="6" t="inlineStr">
        <is>
          <t>mv_n_points_std</t>
        </is>
      </c>
      <c r="C271" s="6" t="inlineStr">
        <is>
          <t>품질·기록량</t>
        </is>
      </c>
      <c r="D271" s="6" t="inlineStr">
        <is>
          <t>기록량</t>
        </is>
      </c>
      <c r="E271" s="6" t="inlineStr">
        <is>
          <t>n_points</t>
        </is>
      </c>
      <c r="F271" s="7" t="inlineStr">
        <is>
          <t>튐 제거 후 점 수</t>
        </is>
      </c>
      <c r="G271" s="7" t="inlineStr">
        <is>
          <t>출어일마다 이동 시간대 평균 → 출어일들의 표준편차(날짜 간 변동)</t>
        </is>
      </c>
      <c r="H271" s="6" t="inlineStr">
        <is>
          <t>L1→L2→L3</t>
        </is>
      </c>
      <c r="I271" s="6" t="inlineStr">
        <is>
          <t>지유·나연·진우</t>
        </is>
      </c>
      <c r="J271" s="6" t="inlineStr"/>
      <c r="K271" s="6" t="inlineStr">
        <is>
          <t>가설 G(이질성: 날짜 간 표준편차)</t>
        </is>
      </c>
      <c r="L271" s="6" t="inlineStr">
        <is>
          <t>O</t>
        </is>
      </c>
      <c r="M271" s="6" t="inlineStr">
        <is>
          <t>O</t>
        </is>
      </c>
      <c r="N271" s="6" t="inlineStr"/>
      <c r="O271" s="12" t="n">
        <v>1</v>
      </c>
      <c r="P271" s="12" t="n">
        <v>0</v>
      </c>
      <c r="Q271" s="6" t="n">
        <v>148</v>
      </c>
      <c r="R271" s="6" t="n">
        <v>183</v>
      </c>
      <c r="S271" s="6" t="inlineStr"/>
    </row>
    <row r="272">
      <c r="A272" s="6" t="n">
        <v>271</v>
      </c>
      <c r="B272" s="6" t="inlineStr">
        <is>
          <t>mv_bin_dispersion_m_std</t>
        </is>
      </c>
      <c r="C272" s="6" t="inlineStr">
        <is>
          <t>품질·기록량</t>
        </is>
      </c>
      <c r="D272" s="6" t="inlineStr">
        <is>
          <t>GPS 튐·정제</t>
        </is>
      </c>
      <c r="E272" s="6" t="inlineStr">
        <is>
          <t>bin_dispersion_m</t>
        </is>
      </c>
      <c r="F272" s="7" t="inlineStr">
        <is>
          <t>10분 구간 내 점 흩어짐(m)</t>
        </is>
      </c>
      <c r="G272" s="7" t="inlineStr">
        <is>
          <t>출어일마다 이동 시간대 평균 → 출어일들의 표준편차(날짜 간 변동)</t>
        </is>
      </c>
      <c r="H272" s="6" t="inlineStr">
        <is>
          <t>L1→L2→L3</t>
        </is>
      </c>
      <c r="I272" s="6" t="inlineStr">
        <is>
          <t>나연</t>
        </is>
      </c>
      <c r="J272" s="6" t="inlineStr"/>
      <c r="K272" s="6" t="inlineStr">
        <is>
          <t>가설 G(이질성: 날짜 간 표준편차)</t>
        </is>
      </c>
      <c r="L272" s="6" t="inlineStr">
        <is>
          <t>O</t>
        </is>
      </c>
      <c r="M272" s="6" t="inlineStr">
        <is>
          <t>O</t>
        </is>
      </c>
      <c r="N272" s="6" t="inlineStr"/>
      <c r="O272" s="12" t="n">
        <v>1</v>
      </c>
      <c r="P272" s="12" t="n">
        <v>0</v>
      </c>
      <c r="Q272" s="6" t="n">
        <v>116</v>
      </c>
      <c r="R272" s="6" t="n">
        <v>215</v>
      </c>
      <c r="S272" s="6" t="inlineStr"/>
    </row>
    <row r="273">
      <c r="A273" s="6" t="n">
        <v>272</v>
      </c>
      <c r="B273" s="6" t="inlineStr">
        <is>
          <t>dist_day_km_p90</t>
        </is>
      </c>
      <c r="C273" s="6" t="inlineStr">
        <is>
          <t>이동량·공간범위</t>
        </is>
      </c>
      <c r="D273" s="6" t="inlineStr">
        <is>
          <t>이동거리</t>
        </is>
      </c>
      <c r="E273" s="6" t="inlineStr">
        <is>
          <t>dist_day_km</t>
        </is>
      </c>
      <c r="F273" s="7" t="inlineStr">
        <is>
          <t>하루 평활 이동거리(km)</t>
        </is>
      </c>
      <c r="G273" s="7" t="inlineStr">
        <is>
          <t>출어일 값들의 90% 분위</t>
        </is>
      </c>
      <c r="H273" s="6" t="inlineStr">
        <is>
          <t>L2→L3</t>
        </is>
      </c>
      <c r="I273" s="6" t="inlineStr">
        <is>
          <t>나연·지유</t>
        </is>
      </c>
      <c r="J273" s="6" t="inlineStr"/>
      <c r="K273" s="6" t="inlineStr"/>
      <c r="L273" s="6" t="inlineStr">
        <is>
          <t>O</t>
        </is>
      </c>
      <c r="M273" s="6" t="inlineStr">
        <is>
          <t>O</t>
        </is>
      </c>
      <c r="N273" s="6" t="inlineStr"/>
      <c r="O273" s="12" t="n">
        <v>0.4</v>
      </c>
      <c r="P273" s="12" t="n">
        <v>0.2</v>
      </c>
      <c r="Q273" s="6" t="n">
        <v>256</v>
      </c>
      <c r="R273" s="6" t="n">
        <v>63</v>
      </c>
      <c r="S273" s="6" t="inlineStr">
        <is>
          <t>dist_day_km_std</t>
        </is>
      </c>
    </row>
    <row r="274">
      <c r="A274" s="6" t="n">
        <v>273</v>
      </c>
      <c r="B274" s="6" t="inlineStr">
        <is>
          <t>home_km_max_p90</t>
        </is>
      </c>
      <c r="C274" s="6" t="inlineStr">
        <is>
          <t>이동량·공간범위</t>
        </is>
      </c>
      <c r="D274" s="6" t="inlineStr">
        <is>
          <t>모항·항구 거리</t>
        </is>
      </c>
      <c r="E274" s="6" t="inlineStr">
        <is>
          <t>home_km_max</t>
        </is>
      </c>
      <c r="F274" s="7" t="inlineStr">
        <is>
          <t>모항에서 최대 거리(km)</t>
        </is>
      </c>
      <c r="G274" s="7" t="inlineStr">
        <is>
          <t>출어일 값들의 90% 분위</t>
        </is>
      </c>
      <c r="H274" s="6" t="inlineStr">
        <is>
          <t>L2→L3</t>
        </is>
      </c>
      <c r="I274" s="6" t="inlineStr">
        <is>
          <t>민성·나연</t>
        </is>
      </c>
      <c r="J274" s="6" t="inlineStr"/>
      <c r="K274" s="6" t="inlineStr"/>
      <c r="L274" s="6" t="inlineStr">
        <is>
          <t>O</t>
        </is>
      </c>
      <c r="M274" s="6" t="inlineStr">
        <is>
          <t>O</t>
        </is>
      </c>
      <c r="N274" s="6" t="inlineStr"/>
      <c r="O274" s="12" t="n">
        <v>0.4</v>
      </c>
      <c r="P274" s="12" t="n">
        <v>0.2</v>
      </c>
      <c r="Q274" s="6" t="n">
        <v>254</v>
      </c>
      <c r="R274" s="6" t="n">
        <v>39</v>
      </c>
      <c r="S274" s="6" t="inlineStr">
        <is>
          <t>home_km_max_mean</t>
        </is>
      </c>
    </row>
    <row r="275">
      <c r="A275" s="6" t="n">
        <v>274</v>
      </c>
      <c r="B275" s="6" t="inlineStr">
        <is>
          <t>n_moving_hours_p90</t>
        </is>
      </c>
      <c r="C275" s="6" t="inlineStr">
        <is>
          <t>시간 사용·항차</t>
        </is>
      </c>
      <c r="D275" s="6" t="inlineStr">
        <is>
          <t>출어 활동량</t>
        </is>
      </c>
      <c r="E275" s="6" t="inlineStr">
        <is>
          <t>n_moving_hours</t>
        </is>
      </c>
      <c r="F275" s="7" t="inlineStr">
        <is>
          <t>이동 시간대 수</t>
        </is>
      </c>
      <c r="G275" s="7" t="inlineStr">
        <is>
          <t>출어일 값들의 90% 분위</t>
        </is>
      </c>
      <c r="H275" s="6" t="inlineStr">
        <is>
          <t>L2→L3</t>
        </is>
      </c>
      <c r="I275" s="6" t="inlineStr">
        <is>
          <t>나연</t>
        </is>
      </c>
      <c r="J275" s="6" t="inlineStr"/>
      <c r="K275" s="6" t="inlineStr"/>
      <c r="L275" s="6" t="inlineStr">
        <is>
          <t>O</t>
        </is>
      </c>
      <c r="M275" s="6" t="inlineStr">
        <is>
          <t>O</t>
        </is>
      </c>
      <c r="N275" s="6" t="inlineStr"/>
      <c r="O275" s="12" t="n">
        <v>0.8</v>
      </c>
      <c r="P275" s="12" t="n">
        <v>0.2</v>
      </c>
      <c r="Q275" s="6" t="n">
        <v>195</v>
      </c>
      <c r="R275" s="6" t="n">
        <v>45</v>
      </c>
      <c r="S275" s="6" t="inlineStr">
        <is>
          <t>n_moving_hours_mean</t>
        </is>
      </c>
    </row>
    <row r="276">
      <c r="A276" s="6" t="n">
        <v>275</v>
      </c>
      <c r="B276" s="6" t="inlineStr">
        <is>
          <t>day_range_q95_km_p90</t>
        </is>
      </c>
      <c r="C276" s="6" t="inlineStr">
        <is>
          <t>이동량·공간범위</t>
        </is>
      </c>
      <c r="D276" s="6" t="inlineStr">
        <is>
          <t>변위·이격</t>
        </is>
      </c>
      <c r="E276" s="6" t="inlineStr">
        <is>
          <t>day_range_q95_km</t>
        </is>
      </c>
      <c r="F276" s="7" t="inlineStr">
        <is>
          <t>첫 위치에서 95% 분위 이격(km, 지터 강건 day_range)</t>
        </is>
      </c>
      <c r="G276" s="7" t="inlineStr">
        <is>
          <t>출어일 값들의 90% 분위</t>
        </is>
      </c>
      <c r="H276" s="6" t="inlineStr">
        <is>
          <t>L2→L3</t>
        </is>
      </c>
      <c r="I276" s="6" t="inlineStr">
        <is>
          <t>민성</t>
        </is>
      </c>
      <c r="J276" s="6" t="inlineStr"/>
      <c r="K276" s="6" t="inlineStr"/>
      <c r="L276" s="6" t="inlineStr">
        <is>
          <t>O</t>
        </is>
      </c>
      <c r="M276" s="6" t="inlineStr">
        <is>
          <t>O</t>
        </is>
      </c>
      <c r="N276" s="6" t="inlineStr"/>
      <c r="O276" s="12" t="n">
        <v>0</v>
      </c>
      <c r="P276" s="12" t="n">
        <v>0</v>
      </c>
      <c r="Q276" s="6" t="n">
        <v>317</v>
      </c>
      <c r="R276" s="6" t="n">
        <v>188</v>
      </c>
      <c r="S276" s="6" t="inlineStr">
        <is>
          <t>home_km_max_mean</t>
        </is>
      </c>
    </row>
    <row r="277">
      <c r="A277" s="6" t="n">
        <v>276</v>
      </c>
      <c r="B277" s="6" t="inlineStr">
        <is>
          <t>trip_hours_q50</t>
        </is>
      </c>
      <c r="C277" s="6" t="inlineStr">
        <is>
          <t>시간 사용·항차</t>
        </is>
      </c>
      <c r="D277" s="6" t="inlineStr">
        <is>
          <t>항차(출항~귀항)</t>
        </is>
      </c>
      <c r="E277" s="6" t="inlineStr">
        <is>
          <t>trip_hours_q50</t>
        </is>
      </c>
      <c r="F277" s="7" t="inlineStr">
        <is>
          <t>항차 시간 중앙값</t>
        </is>
      </c>
      <c r="G277" s="7" t="inlineStr">
        <is>
          <t>선박 전체 기간에서 직접 계산</t>
        </is>
      </c>
      <c r="H277" s="6" t="inlineStr">
        <is>
          <t>L3 선박</t>
        </is>
      </c>
      <c r="I277" s="6" t="inlineStr">
        <is>
          <t>민성</t>
        </is>
      </c>
      <c r="J277" s="6" t="inlineStr"/>
      <c r="K277" s="6" t="inlineStr"/>
      <c r="L277" s="6" t="inlineStr">
        <is>
          <t>O</t>
        </is>
      </c>
      <c r="M277" s="6" t="inlineStr">
        <is>
          <t>O</t>
        </is>
      </c>
      <c r="N277" s="6" t="inlineStr"/>
      <c r="O277" s="12" t="n">
        <v>0</v>
      </c>
      <c r="P277" s="12" t="n">
        <v>0</v>
      </c>
      <c r="Q277" s="6" t="n">
        <v>329</v>
      </c>
      <c r="R277" s="6" t="n">
        <v>263</v>
      </c>
      <c r="S277" s="6" t="inlineStr">
        <is>
          <t>mv_span_h_median</t>
        </is>
      </c>
    </row>
    <row r="278">
      <c r="A278" s="6" t="n">
        <v>277</v>
      </c>
      <c r="B278" s="6" t="inlineStr">
        <is>
          <t>trip_max_dist_q50</t>
        </is>
      </c>
      <c r="C278" s="6" t="inlineStr">
        <is>
          <t>이동량·공간범위</t>
        </is>
      </c>
      <c r="D278" s="6" t="inlineStr">
        <is>
          <t>모항·항구 거리</t>
        </is>
      </c>
      <c r="E278" s="6" t="inlineStr">
        <is>
          <t>trip_max_dist_q50</t>
        </is>
      </c>
      <c r="F278" s="7" t="inlineStr">
        <is>
          <t>항차 최대거리 중앙값</t>
        </is>
      </c>
      <c r="G278" s="7" t="inlineStr">
        <is>
          <t>선박 전체 기간에서 직접 계산</t>
        </is>
      </c>
      <c r="H278" s="6" t="inlineStr">
        <is>
          <t>L3 선박</t>
        </is>
      </c>
      <c r="I278" s="6" t="inlineStr">
        <is>
          <t>민성</t>
        </is>
      </c>
      <c r="J278" s="6" t="inlineStr"/>
      <c r="K278" s="6" t="inlineStr"/>
      <c r="L278" s="6" t="inlineStr">
        <is>
          <t>O</t>
        </is>
      </c>
      <c r="M278" s="6" t="inlineStr">
        <is>
          <t>O</t>
        </is>
      </c>
      <c r="N278" s="6" t="inlineStr"/>
      <c r="O278" s="12" t="n">
        <v>0</v>
      </c>
      <c r="P278" s="12" t="n">
        <v>0</v>
      </c>
      <c r="Q278" s="6" t="n">
        <v>316</v>
      </c>
      <c r="R278" s="6" t="n">
        <v>159</v>
      </c>
      <c r="S278" s="6" t="inlineStr">
        <is>
          <t>home_km_max_median</t>
        </is>
      </c>
    </row>
    <row r="279">
      <c r="A279" s="6" t="n">
        <v>278</v>
      </c>
      <c r="B279" s="6" t="inlineStr">
        <is>
          <t>departure_hour_q50</t>
        </is>
      </c>
      <c r="C279" s="6" t="inlineStr">
        <is>
          <t>하루 리듬·시각(E)</t>
        </is>
      </c>
      <c r="D279" s="6" t="inlineStr">
        <is>
          <t>시작·종료 시각</t>
        </is>
      </c>
      <c r="E279" s="6" t="inlineStr">
        <is>
          <t>departure_hour_q50</t>
        </is>
      </c>
      <c r="F279" s="7" t="inlineStr">
        <is>
          <t>출항(조업 시작) 시각 중앙값</t>
        </is>
      </c>
      <c r="G279" s="7" t="inlineStr">
        <is>
          <t>선박 전체 기간에서 직접 계산</t>
        </is>
      </c>
      <c r="H279" s="6" t="inlineStr">
        <is>
          <t>L3 선박</t>
        </is>
      </c>
      <c r="I279" s="6" t="inlineStr">
        <is>
          <t>민성</t>
        </is>
      </c>
      <c r="J279" s="6" t="inlineStr"/>
      <c r="K279" s="6" t="inlineStr"/>
      <c r="L279" s="6" t="inlineStr">
        <is>
          <t>O</t>
        </is>
      </c>
      <c r="M279" s="6" t="inlineStr">
        <is>
          <t>O</t>
        </is>
      </c>
      <c r="N279" s="6" t="inlineStr"/>
      <c r="O279" s="12" t="n">
        <v>0</v>
      </c>
      <c r="P279" s="12" t="n">
        <v>0</v>
      </c>
      <c r="Q279" s="6" t="n">
        <v>328</v>
      </c>
      <c r="R279" s="6" t="n">
        <v>253</v>
      </c>
      <c r="S279" s="6" t="inlineStr">
        <is>
          <t>mv_first_hour_mean</t>
        </is>
      </c>
    </row>
    <row r="280">
      <c r="A280" s="6" t="n">
        <v>279</v>
      </c>
      <c r="B280" s="6" t="inlineStr">
        <is>
          <t>fh_ks_speed_med_q50</t>
        </is>
      </c>
      <c r="C280" s="6" t="inlineStr">
        <is>
          <t>속도 구조(C)</t>
        </is>
      </c>
      <c r="D280" s="6" t="inlineStr">
        <is>
          <t>5-step 강건 속도</t>
        </is>
      </c>
      <c r="E280" s="6" t="inlineStr">
        <is>
          <t>ks_speed_med</t>
        </is>
      </c>
      <c r="F280" s="7" t="inlineStr">
        <is>
          <t>5-step 속도 중앙값(kn)</t>
        </is>
      </c>
      <c r="G280" s="7" t="inlineStr">
        <is>
          <t>조업 시간대 1시간 값들의 선박별 중앙값</t>
        </is>
      </c>
      <c r="H280" s="6" t="inlineStr">
        <is>
          <t>L1→L3</t>
        </is>
      </c>
      <c r="I280" s="6" t="inlineStr">
        <is>
          <t>민성</t>
        </is>
      </c>
      <c r="J280" s="6" t="inlineStr"/>
      <c r="K280" s="6" t="inlineStr"/>
      <c r="L280" s="6" t="inlineStr">
        <is>
          <t>O</t>
        </is>
      </c>
      <c r="M280" s="6" t="inlineStr">
        <is>
          <t>O</t>
        </is>
      </c>
      <c r="N280" s="6" t="inlineStr"/>
      <c r="O280" s="12" t="n">
        <v>1</v>
      </c>
      <c r="P280" s="12" t="n">
        <v>0</v>
      </c>
      <c r="Q280" s="6" t="n">
        <v>147</v>
      </c>
      <c r="R280" s="6" t="n">
        <v>195</v>
      </c>
      <c r="S280" s="6" t="inlineStr"/>
    </row>
    <row r="281">
      <c r="A281" s="6" t="n">
        <v>280</v>
      </c>
      <c r="B281" s="6" t="inlineStr">
        <is>
          <t>fh_ks_speed_p90_q50</t>
        </is>
      </c>
      <c r="C281" s="6" t="inlineStr">
        <is>
          <t>속도 구조(C)</t>
        </is>
      </c>
      <c r="D281" s="6" t="inlineStr">
        <is>
          <t>5-step 강건 속도</t>
        </is>
      </c>
      <c r="E281" s="6" t="inlineStr">
        <is>
          <t>ks_speed_p90</t>
        </is>
      </c>
      <c r="F281" s="7" t="inlineStr">
        <is>
          <t>5-step 속도 90% 분위</t>
        </is>
      </c>
      <c r="G281" s="7" t="inlineStr">
        <is>
          <t>조업 시간대 1시간 값들의 선박별 중앙값</t>
        </is>
      </c>
      <c r="H281" s="6" t="inlineStr">
        <is>
          <t>L1→L3</t>
        </is>
      </c>
      <c r="I281" s="6" t="inlineStr">
        <is>
          <t>민성</t>
        </is>
      </c>
      <c r="J281" s="6" t="inlineStr"/>
      <c r="K281" s="6" t="inlineStr"/>
      <c r="L281" s="6" t="inlineStr">
        <is>
          <t>O</t>
        </is>
      </c>
      <c r="M281" s="6" t="inlineStr">
        <is>
          <t>O</t>
        </is>
      </c>
      <c r="N281" s="6" t="inlineStr"/>
      <c r="O281" s="12" t="n">
        <v>1</v>
      </c>
      <c r="P281" s="12" t="n">
        <v>0</v>
      </c>
      <c r="Q281" s="6" t="n">
        <v>191</v>
      </c>
      <c r="R281" s="6" t="n">
        <v>294</v>
      </c>
      <c r="S281" s="6" t="inlineStr"/>
    </row>
    <row r="282">
      <c r="A282" s="6" t="n">
        <v>281</v>
      </c>
      <c r="B282" s="6" t="inlineStr">
        <is>
          <t>fh_rg_med_m_q50</t>
        </is>
      </c>
      <c r="C282" s="6" t="inlineStr">
        <is>
          <t>이동량·공간범위</t>
        </is>
      </c>
      <c r="D282" s="6" t="inlineStr">
        <is>
          <t>활동 범위(1시간)</t>
        </is>
      </c>
      <c r="E282" s="6" t="inlineStr">
        <is>
          <t>rg_med_m</t>
        </is>
      </c>
      <c r="F282" s="7" t="inlineStr">
        <is>
          <t>중앙 반경: 중앙점까지 거리의 중앙값(m, 지터 강건)</t>
        </is>
      </c>
      <c r="G282" s="7" t="inlineStr">
        <is>
          <t>조업 시간대 1시간 값들의 선박별 중앙값</t>
        </is>
      </c>
      <c r="H282" s="6" t="inlineStr">
        <is>
          <t>L1→L3</t>
        </is>
      </c>
      <c r="I282" s="6" t="inlineStr">
        <is>
          <t>민성</t>
        </is>
      </c>
      <c r="J282" s="6" t="inlineStr"/>
      <c r="K282" s="6" t="inlineStr"/>
      <c r="L282" s="6" t="inlineStr">
        <is>
          <t>O</t>
        </is>
      </c>
      <c r="M282" s="6" t="inlineStr">
        <is>
          <t>O</t>
        </is>
      </c>
      <c r="N282" s="6" t="inlineStr"/>
      <c r="O282" s="12" t="n">
        <v>1</v>
      </c>
      <c r="P282" s="12" t="n">
        <v>0</v>
      </c>
      <c r="Q282" s="6" t="n">
        <v>76</v>
      </c>
      <c r="R282" s="6" t="n">
        <v>117</v>
      </c>
      <c r="S282" s="6" t="inlineStr"/>
    </row>
    <row r="283">
      <c r="A283" s="6" t="n">
        <v>282</v>
      </c>
      <c r="B283" s="6" t="inlineStr">
        <is>
          <t>fh_ks_heading_R_q50</t>
        </is>
      </c>
      <c r="C283" s="6" t="inlineStr">
        <is>
          <t>방향·회전(D)</t>
        </is>
      </c>
      <c r="D283" s="6" t="inlineStr">
        <is>
          <t>방향 일관성</t>
        </is>
      </c>
      <c r="E283" s="6" t="inlineStr">
        <is>
          <t>ks_heading_R</t>
        </is>
      </c>
      <c r="F283" s="7" t="inlineStr">
        <is>
          <t>5-step 방향 일관성</t>
        </is>
      </c>
      <c r="G283" s="7" t="inlineStr">
        <is>
          <t>조업 시간대 1시간 값들의 선박별 중앙값</t>
        </is>
      </c>
      <c r="H283" s="6" t="inlineStr">
        <is>
          <t>L1→L3</t>
        </is>
      </c>
      <c r="I283" s="6" t="inlineStr">
        <is>
          <t>민성</t>
        </is>
      </c>
      <c r="J283" s="6" t="inlineStr"/>
      <c r="K283" s="6" t="inlineStr"/>
      <c r="L283" s="6" t="inlineStr">
        <is>
          <t>O</t>
        </is>
      </c>
      <c r="M283" s="6" t="inlineStr">
        <is>
          <t>O</t>
        </is>
      </c>
      <c r="N283" s="6" t="inlineStr"/>
      <c r="O283" s="12" t="n">
        <v>1</v>
      </c>
      <c r="P283" s="12" t="n">
        <v>0</v>
      </c>
      <c r="Q283" s="6" t="n">
        <v>88</v>
      </c>
      <c r="R283" s="6" t="n">
        <v>160</v>
      </c>
      <c r="S283" s="6" t="inlineStr"/>
    </row>
    <row r="284">
      <c r="A284" s="6" t="n">
        <v>283</v>
      </c>
      <c r="B284" s="6" t="inlineStr">
        <is>
          <t>fh_ks_turn_med_q50</t>
        </is>
      </c>
      <c r="C284" s="6" t="inlineStr">
        <is>
          <t>방향·회전(D)</t>
        </is>
      </c>
      <c r="D284" s="6" t="inlineStr">
        <is>
          <t>회전각</t>
        </is>
      </c>
      <c r="E284" s="6" t="inlineStr">
        <is>
          <t>ks_turn_med</t>
        </is>
      </c>
      <c r="F284" s="7" t="inlineStr">
        <is>
          <t>5-step 회전각 중앙값(°)</t>
        </is>
      </c>
      <c r="G284" s="7" t="inlineStr">
        <is>
          <t>조업 시간대 1시간 값들의 선박별 중앙값</t>
        </is>
      </c>
      <c r="H284" s="6" t="inlineStr">
        <is>
          <t>L1→L3</t>
        </is>
      </c>
      <c r="I284" s="6" t="inlineStr">
        <is>
          <t>민성</t>
        </is>
      </c>
      <c r="J284" s="6" t="inlineStr"/>
      <c r="K284" s="6" t="inlineStr"/>
      <c r="L284" s="6" t="inlineStr">
        <is>
          <t>O</t>
        </is>
      </c>
      <c r="M284" s="6" t="inlineStr">
        <is>
          <t>O</t>
        </is>
      </c>
      <c r="N284" s="6" t="inlineStr"/>
      <c r="O284" s="12" t="n">
        <v>1</v>
      </c>
      <c r="P284" s="12" t="n">
        <v>0.2</v>
      </c>
      <c r="Q284" s="6" t="n">
        <v>28</v>
      </c>
      <c r="R284" s="6" t="n">
        <v>41</v>
      </c>
      <c r="S284" s="6" t="inlineStr"/>
    </row>
    <row r="285">
      <c r="A285" s="6" t="n">
        <v>284</v>
      </c>
      <c r="B285" s="6" t="inlineStr">
        <is>
          <t>fh_n_stays_q50</t>
        </is>
      </c>
      <c r="C285" s="6" t="inlineStr">
        <is>
          <t>체류점</t>
        </is>
      </c>
      <c r="D285" s="6" t="inlineStr">
        <is>
          <t>체류점</t>
        </is>
      </c>
      <c r="E285" s="6" t="inlineStr">
        <is>
          <t>n_stays</t>
        </is>
      </c>
      <c r="F285" s="7" t="inlineStr">
        <is>
          <t>체류점 횟수 (반경 30m 안에 3점 이상 머묾)</t>
        </is>
      </c>
      <c r="G285" s="7" t="inlineStr">
        <is>
          <t>조업 시간대 1시간 값들의 선박별 중앙값</t>
        </is>
      </c>
      <c r="H285" s="6" t="inlineStr">
        <is>
          <t>L1→L3</t>
        </is>
      </c>
      <c r="I285" s="6" t="inlineStr">
        <is>
          <t>민성</t>
        </is>
      </c>
      <c r="J285" s="6" t="inlineStr"/>
      <c r="K285" s="6" t="inlineStr">
        <is>
          <t>가설 관련</t>
        </is>
      </c>
      <c r="L285" s="6" t="inlineStr">
        <is>
          <t>O</t>
        </is>
      </c>
      <c r="M285" s="6" t="inlineStr">
        <is>
          <t>O</t>
        </is>
      </c>
      <c r="N285" s="6" t="inlineStr"/>
      <c r="O285" s="12" t="n">
        <v>0.2</v>
      </c>
      <c r="P285" s="12" t="n">
        <v>0</v>
      </c>
      <c r="Q285" s="6" t="n">
        <v>309</v>
      </c>
      <c r="R285" s="6" t="n">
        <v>318</v>
      </c>
      <c r="S285" s="6" t="inlineStr">
        <is>
          <t>mv_n_stays_median</t>
        </is>
      </c>
    </row>
    <row r="286">
      <c r="A286" s="6" t="n">
        <v>285</v>
      </c>
      <c r="B286" s="6" t="inlineStr">
        <is>
          <t>fh_ks_straight_max_m_q50</t>
        </is>
      </c>
      <c r="C286" s="6" t="inlineStr">
        <is>
          <t>경로형태·직선투망(B)</t>
        </is>
      </c>
      <c r="D286" s="6" t="inlineStr">
        <is>
          <t>직선 투망 형상</t>
        </is>
      </c>
      <c r="E286" s="6" t="inlineStr">
        <is>
          <t>ks_straight_max_m</t>
        </is>
      </c>
      <c r="F286" s="7" t="inlineStr">
        <is>
          <t>5-step 최장 직선 이동(m, 회전 15° 미만 연속) = 투망 길이 추정</t>
        </is>
      </c>
      <c r="G286" s="7" t="inlineStr">
        <is>
          <t>조업 시간대 1시간 값들의 선박별 중앙값</t>
        </is>
      </c>
      <c r="H286" s="6" t="inlineStr">
        <is>
          <t>L1→L3</t>
        </is>
      </c>
      <c r="I286" s="6" t="inlineStr">
        <is>
          <t>민성·가설 B</t>
        </is>
      </c>
      <c r="J286" s="6" t="inlineStr"/>
      <c r="K286" s="6" t="inlineStr">
        <is>
          <t>가설 B(직선 투망)</t>
        </is>
      </c>
      <c r="L286" s="6" t="inlineStr">
        <is>
          <t>O</t>
        </is>
      </c>
      <c r="M286" s="6" t="inlineStr">
        <is>
          <t>O</t>
        </is>
      </c>
      <c r="N286" s="6" t="inlineStr"/>
      <c r="O286" s="12" t="n">
        <v>1</v>
      </c>
      <c r="P286" s="12" t="n">
        <v>0</v>
      </c>
      <c r="Q286" s="6" t="n">
        <v>69</v>
      </c>
      <c r="R286" s="6" t="n">
        <v>161</v>
      </c>
      <c r="S286" s="6" t="inlineStr"/>
    </row>
    <row r="287">
      <c r="A287" s="6" t="n">
        <v>286</v>
      </c>
      <c r="B287" s="6" t="inlineStr">
        <is>
          <t>fh_slow_run_max_min_q50</t>
        </is>
      </c>
      <c r="C287" s="6" t="inlineStr">
        <is>
          <t>속도 구조(C)</t>
        </is>
      </c>
      <c r="D287" s="6" t="inlineStr">
        <is>
          <t>저속 연속·속도 다양성</t>
        </is>
      </c>
      <c r="E287" s="6" t="inlineStr">
        <is>
          <t>slow_run_max_min</t>
        </is>
      </c>
      <c r="F287" s="7" t="inlineStr">
        <is>
          <t>저속(0.3~2kn) 최장 연속 시간(분) = 양망 추정</t>
        </is>
      </c>
      <c r="G287" s="7" t="inlineStr">
        <is>
          <t>조업 시간대 1시간 값들의 선박별 중앙값</t>
        </is>
      </c>
      <c r="H287" s="6" t="inlineStr">
        <is>
          <t>L1→L3</t>
        </is>
      </c>
      <c r="I287" s="6" t="inlineStr">
        <is>
          <t>가설 C</t>
        </is>
      </c>
      <c r="J287" s="6" t="inlineStr"/>
      <c r="K287" s="6" t="inlineStr">
        <is>
          <t>가설 C(속도 구조)</t>
        </is>
      </c>
      <c r="L287" s="6" t="inlineStr">
        <is>
          <t>O</t>
        </is>
      </c>
      <c r="M287" s="6" t="inlineStr">
        <is>
          <t>O</t>
        </is>
      </c>
      <c r="N287" s="6" t="inlineStr"/>
      <c r="O287" s="12" t="n">
        <v>1</v>
      </c>
      <c r="P287" s="12" t="n">
        <v>0</v>
      </c>
      <c r="Q287" s="6" t="n">
        <v>112</v>
      </c>
      <c r="R287" s="6" t="n">
        <v>114</v>
      </c>
      <c r="S287" s="6" t="inlineStr"/>
    </row>
    <row r="288">
      <c r="A288" s="6" t="n">
        <v>287</v>
      </c>
      <c r="B288" s="6" t="inlineStr">
        <is>
          <t>fh_sp_p50_q50</t>
        </is>
      </c>
      <c r="C288" s="6" t="inlineStr">
        <is>
          <t>속도 구조(C)</t>
        </is>
      </c>
      <c r="D288" s="6" t="inlineStr">
        <is>
          <t>10분 구간 속도</t>
        </is>
      </c>
      <c r="E288" s="6" t="inlineStr">
        <is>
          <t>sp_p50</t>
        </is>
      </c>
      <c r="F288" s="7" t="inlineStr">
        <is>
          <t>10분 속도 중앙값</t>
        </is>
      </c>
      <c r="G288" s="7" t="inlineStr">
        <is>
          <t>조업 시간대 1시간 값들의 선박별 중앙값</t>
        </is>
      </c>
      <c r="H288" s="6" t="inlineStr">
        <is>
          <t>L1→L3</t>
        </is>
      </c>
      <c r="I288" s="6" t="inlineStr">
        <is>
          <t>나연</t>
        </is>
      </c>
      <c r="J288" s="6" t="inlineStr"/>
      <c r="K288" s="6" t="inlineStr"/>
      <c r="L288" s="6" t="inlineStr">
        <is>
          <t>O</t>
        </is>
      </c>
      <c r="M288" s="6" t="inlineStr">
        <is>
          <t>O</t>
        </is>
      </c>
      <c r="N288" s="6" t="inlineStr"/>
      <c r="O288" s="12" t="n">
        <v>1</v>
      </c>
      <c r="P288" s="12" t="n">
        <v>0</v>
      </c>
      <c r="Q288" s="6" t="n">
        <v>102</v>
      </c>
      <c r="R288" s="6" t="n">
        <v>178</v>
      </c>
      <c r="S288" s="6" t="inlineStr"/>
    </row>
    <row r="289">
      <c r="A289" s="6" t="n">
        <v>288</v>
      </c>
      <c r="B289" s="6" t="inlineStr">
        <is>
          <t>fh_sp_p90_q50</t>
        </is>
      </c>
      <c r="C289" s="6" t="inlineStr">
        <is>
          <t>속도 구조(C)</t>
        </is>
      </c>
      <c r="D289" s="6" t="inlineStr">
        <is>
          <t>10분 구간 속도</t>
        </is>
      </c>
      <c r="E289" s="6" t="inlineStr">
        <is>
          <t>sp_p90</t>
        </is>
      </c>
      <c r="F289" s="7" t="inlineStr">
        <is>
          <t>10분 속도 90% 분위</t>
        </is>
      </c>
      <c r="G289" s="7" t="inlineStr">
        <is>
          <t>조업 시간대 1시간 값들의 선박별 중앙값</t>
        </is>
      </c>
      <c r="H289" s="6" t="inlineStr">
        <is>
          <t>L1→L3</t>
        </is>
      </c>
      <c r="I289" s="6" t="inlineStr">
        <is>
          <t>나연</t>
        </is>
      </c>
      <c r="J289" s="6" t="inlineStr"/>
      <c r="K289" s="6" t="inlineStr"/>
      <c r="L289" s="6" t="inlineStr">
        <is>
          <t>O</t>
        </is>
      </c>
      <c r="M289" s="6" t="inlineStr">
        <is>
          <t>O</t>
        </is>
      </c>
      <c r="N289" s="6" t="inlineStr"/>
      <c r="O289" s="12" t="n">
        <v>0.8</v>
      </c>
      <c r="P289" s="12" t="n">
        <v>0.2</v>
      </c>
      <c r="Q289" s="6" t="n">
        <v>198</v>
      </c>
      <c r="R289" s="6" t="n">
        <v>67</v>
      </c>
      <c r="S289" s="6" t="inlineStr">
        <is>
          <t>fh_dist_m_q50</t>
        </is>
      </c>
    </row>
    <row r="290">
      <c r="A290" s="6" t="n">
        <v>289</v>
      </c>
      <c r="B290" s="6" t="inlineStr">
        <is>
          <t>fh_turn_mean_q50</t>
        </is>
      </c>
      <c r="C290" s="6" t="inlineStr">
        <is>
          <t>방향·회전(D)</t>
        </is>
      </c>
      <c r="D290" s="6" t="inlineStr">
        <is>
          <t>회전각</t>
        </is>
      </c>
      <c r="E290" s="6" t="inlineStr">
        <is>
          <t>turn_mean</t>
        </is>
      </c>
      <c r="F290" s="7" t="inlineStr">
        <is>
          <t>회전각 평균(°)</t>
        </is>
      </c>
      <c r="G290" s="7" t="inlineStr">
        <is>
          <t>조업 시간대 1시간 값들의 선박별 중앙값</t>
        </is>
      </c>
      <c r="H290" s="6" t="inlineStr">
        <is>
          <t>L1→L3</t>
        </is>
      </c>
      <c r="I290" s="6" t="inlineStr">
        <is>
          <t>공통</t>
        </is>
      </c>
      <c r="J290" s="6" t="inlineStr"/>
      <c r="K290" s="6" t="inlineStr"/>
      <c r="L290" s="6" t="inlineStr">
        <is>
          <t>O</t>
        </is>
      </c>
      <c r="M290" s="6" t="inlineStr">
        <is>
          <t>O</t>
        </is>
      </c>
      <c r="N290" s="6" t="inlineStr"/>
      <c r="O290" s="12" t="n">
        <v>1</v>
      </c>
      <c r="P290" s="12" t="n">
        <v>0.2</v>
      </c>
      <c r="Q290" s="6" t="n">
        <v>71</v>
      </c>
      <c r="R290" s="6" t="n">
        <v>55</v>
      </c>
      <c r="S290" s="6" t="inlineStr">
        <is>
          <t>mv_turn_mean_median</t>
        </is>
      </c>
    </row>
    <row r="291">
      <c r="A291" s="6" t="n">
        <v>290</v>
      </c>
      <c r="B291" s="6" t="inlineStr">
        <is>
          <t>fh_straightness_q50</t>
        </is>
      </c>
      <c r="C291" s="6" t="inlineStr">
        <is>
          <t>경로형태·직선투망(B)</t>
        </is>
      </c>
      <c r="D291" s="6" t="inlineStr">
        <is>
          <t>직진도·구불거림</t>
        </is>
      </c>
      <c r="E291" s="6" t="inlineStr">
        <is>
          <t>straightness</t>
        </is>
      </c>
      <c r="F291" s="7" t="inlineStr">
        <is>
          <t>직진도 = 변위/거리 (0~1, 1=일직선)</t>
        </is>
      </c>
      <c r="G291" s="7" t="inlineStr">
        <is>
          <t>조업 시간대 1시간 값들의 선박별 중앙값</t>
        </is>
      </c>
      <c r="H291" s="6" t="inlineStr">
        <is>
          <t>L1→L3</t>
        </is>
      </c>
      <c r="I291" s="6" t="inlineStr">
        <is>
          <t>공통</t>
        </is>
      </c>
      <c r="J291" s="6" t="inlineStr"/>
      <c r="K291" s="6" t="inlineStr"/>
      <c r="L291" s="6" t="inlineStr">
        <is>
          <t>O</t>
        </is>
      </c>
      <c r="M291" s="6" t="inlineStr">
        <is>
          <t>O</t>
        </is>
      </c>
      <c r="N291" s="6" t="inlineStr"/>
      <c r="O291" s="12" t="n">
        <v>0.8</v>
      </c>
      <c r="P291" s="12" t="n">
        <v>0</v>
      </c>
      <c r="Q291" s="6" t="n">
        <v>203</v>
      </c>
      <c r="R291" s="6" t="n">
        <v>182</v>
      </c>
      <c r="S291" s="6" t="inlineStr">
        <is>
          <t>mv_straightness_median</t>
        </is>
      </c>
    </row>
    <row r="292">
      <c r="A292" s="13" t="n">
        <v>291</v>
      </c>
      <c r="B292" s="13" t="inlineStr">
        <is>
          <t>fh_pca_elong_q50</t>
        </is>
      </c>
      <c r="C292" s="13" t="inlineStr">
        <is>
          <t>경로형태·직선투망(B)</t>
        </is>
      </c>
      <c r="D292" s="13" t="inlineStr">
        <is>
          <t>직선 투망 형상</t>
        </is>
      </c>
      <c r="E292" s="13" t="inlineStr">
        <is>
          <t>pca_elong</t>
        </is>
      </c>
      <c r="F292" s="14" t="inlineStr">
        <is>
          <t>PCA 연신율 log(1+λ1/λ2): 직선 모양일수록 큼</t>
        </is>
      </c>
      <c r="G292" s="14" t="inlineStr">
        <is>
          <t>조업 시간대 1시간 값들의 선박별 중앙값</t>
        </is>
      </c>
      <c r="H292" s="13" t="inlineStr">
        <is>
          <t>L1→L3</t>
        </is>
      </c>
      <c r="I292" s="13" t="inlineStr">
        <is>
          <t>가설 B</t>
        </is>
      </c>
      <c r="J292" s="13" t="inlineStr"/>
      <c r="K292" s="13" t="inlineStr">
        <is>
          <t>가설 B(직선 투망)</t>
        </is>
      </c>
      <c r="L292" s="13" t="inlineStr">
        <is>
          <t>O</t>
        </is>
      </c>
      <c r="M292" s="13" t="inlineStr">
        <is>
          <t>O</t>
        </is>
      </c>
      <c r="N292" s="13" t="inlineStr">
        <is>
          <t>O</t>
        </is>
      </c>
      <c r="O292" s="15" t="n">
        <v>1</v>
      </c>
      <c r="P292" s="15" t="n">
        <v>0.6</v>
      </c>
      <c r="Q292" s="13" t="n">
        <v>3</v>
      </c>
      <c r="R292" s="13" t="n">
        <v>18</v>
      </c>
      <c r="S292" s="13" t="inlineStr"/>
    </row>
    <row r="293">
      <c r="A293" s="6" t="n">
        <v>292</v>
      </c>
      <c r="B293" s="6" t="inlineStr">
        <is>
          <t>fh_frac_slow_q50</t>
        </is>
      </c>
      <c r="C293" s="6" t="inlineStr">
        <is>
          <t>속도 구조(C)</t>
        </is>
      </c>
      <c r="D293" s="6" t="inlineStr">
        <is>
          <t>속도 구간 비율</t>
        </is>
      </c>
      <c r="E293" s="6" t="inlineStr">
        <is>
          <t>frac_slow</t>
        </is>
      </c>
      <c r="F293" s="7" t="inlineStr">
        <is>
          <t>저속(0.5~3kn) 구간 비율</t>
        </is>
      </c>
      <c r="G293" s="7" t="inlineStr">
        <is>
          <t>조업 시간대 1시간 값들의 선박별 중앙값</t>
        </is>
      </c>
      <c r="H293" s="6" t="inlineStr">
        <is>
          <t>L1→L3</t>
        </is>
      </c>
      <c r="I293" s="6" t="inlineStr">
        <is>
          <t>나연</t>
        </is>
      </c>
      <c r="J293" s="6" t="inlineStr"/>
      <c r="K293" s="6" t="inlineStr"/>
      <c r="L293" s="6" t="inlineStr">
        <is>
          <t>O</t>
        </is>
      </c>
      <c r="M293" s="6" t="inlineStr">
        <is>
          <t>O</t>
        </is>
      </c>
      <c r="N293" s="6" t="inlineStr"/>
      <c r="O293" s="12" t="n">
        <v>1</v>
      </c>
      <c r="P293" s="12" t="n">
        <v>0</v>
      </c>
      <c r="Q293" s="6" t="n">
        <v>73</v>
      </c>
      <c r="R293" s="6" t="n">
        <v>177</v>
      </c>
      <c r="S293" s="6" t="inlineStr"/>
    </row>
    <row r="294">
      <c r="A294" s="6" t="n">
        <v>293</v>
      </c>
      <c r="B294" s="6" t="inlineStr">
        <is>
          <t>fh_frac_mid_q50</t>
        </is>
      </c>
      <c r="C294" s="6" t="inlineStr">
        <is>
          <t>속도 구조(C)</t>
        </is>
      </c>
      <c r="D294" s="6" t="inlineStr">
        <is>
          <t>속도 구간 비율</t>
        </is>
      </c>
      <c r="E294" s="6" t="inlineStr">
        <is>
          <t>frac_mid</t>
        </is>
      </c>
      <c r="F294" s="7" t="inlineStr">
        <is>
          <t>중속(3~6kn) 구간 비율</t>
        </is>
      </c>
      <c r="G294" s="7" t="inlineStr">
        <is>
          <t>조업 시간대 1시간 값들의 선박별 중앙값</t>
        </is>
      </c>
      <c r="H294" s="6" t="inlineStr">
        <is>
          <t>L1→L3</t>
        </is>
      </c>
      <c r="I294" s="6" t="inlineStr">
        <is>
          <t>나연</t>
        </is>
      </c>
      <c r="J294" s="6" t="inlineStr"/>
      <c r="K294" s="6" t="inlineStr"/>
      <c r="L294" s="6" t="inlineStr">
        <is>
          <t>O</t>
        </is>
      </c>
      <c r="M294" s="6" t="inlineStr">
        <is>
          <t>O</t>
        </is>
      </c>
      <c r="N294" s="6" t="inlineStr"/>
      <c r="O294" s="12" t="n">
        <v>0.6</v>
      </c>
      <c r="P294" s="12" t="n">
        <v>0</v>
      </c>
      <c r="Q294" s="6" t="n">
        <v>251</v>
      </c>
      <c r="R294" s="6" t="n">
        <v>345</v>
      </c>
      <c r="S294" s="6" t="inlineStr"/>
    </row>
    <row r="295">
      <c r="A295" s="6" t="n">
        <v>294</v>
      </c>
      <c r="B295" s="6" t="inlineStr">
        <is>
          <t>fh_path_over_rg_q50</t>
        </is>
      </c>
      <c r="C295" s="6" t="inlineStr">
        <is>
          <t>경로형태·직선투망(B)</t>
        </is>
      </c>
      <c r="D295" s="6" t="inlineStr">
        <is>
          <t>경로 반복도</t>
        </is>
      </c>
      <c r="E295" s="6" t="inlineStr">
        <is>
          <t>path_over_rg</t>
        </is>
      </c>
      <c r="F295" s="7" t="inlineStr">
        <is>
          <t>경로길이/회전반경</t>
        </is>
      </c>
      <c r="G295" s="7" t="inlineStr">
        <is>
          <t>조업 시간대 1시간 값들의 선박별 중앙값</t>
        </is>
      </c>
      <c r="H295" s="6" t="inlineStr">
        <is>
          <t>L1→L3</t>
        </is>
      </c>
      <c r="I295" s="6" t="inlineStr">
        <is>
          <t>나연</t>
        </is>
      </c>
      <c r="J295" s="6" t="inlineStr"/>
      <c r="K295" s="6" t="inlineStr"/>
      <c r="L295" s="6" t="inlineStr">
        <is>
          <t>O</t>
        </is>
      </c>
      <c r="M295" s="6" t="inlineStr">
        <is>
          <t>O</t>
        </is>
      </c>
      <c r="N295" s="6" t="inlineStr"/>
      <c r="O295" s="12" t="n">
        <v>0.2</v>
      </c>
      <c r="P295" s="12" t="n">
        <v>0</v>
      </c>
      <c r="Q295" s="6" t="n">
        <v>303</v>
      </c>
      <c r="R295" s="6" t="n">
        <v>131</v>
      </c>
      <c r="S295" s="6" t="inlineStr">
        <is>
          <t>mv_path_over_rg_median</t>
        </is>
      </c>
    </row>
    <row r="296">
      <c r="A296" s="6" t="n">
        <v>295</v>
      </c>
      <c r="B296" s="6" t="inlineStr">
        <is>
          <t>fh_speed_entropy_q50</t>
        </is>
      </c>
      <c r="C296" s="6" t="inlineStr">
        <is>
          <t>속도 구조(C)</t>
        </is>
      </c>
      <c r="D296" s="6" t="inlineStr">
        <is>
          <t>저속 연속·속도 다양성</t>
        </is>
      </c>
      <c r="E296" s="6" t="inlineStr">
        <is>
          <t>speed_entropy</t>
        </is>
      </c>
      <c r="F296" s="7" t="inlineStr">
        <is>
          <t>속도 구간 분포 엔트로피: 여러 속도를 섞어 쓸수록 큼</t>
        </is>
      </c>
      <c r="G296" s="7" t="inlineStr">
        <is>
          <t>조업 시간대 1시간 값들의 선박별 중앙값</t>
        </is>
      </c>
      <c r="H296" s="6" t="inlineStr">
        <is>
          <t>L1→L3</t>
        </is>
      </c>
      <c r="I296" s="6" t="inlineStr">
        <is>
          <t>가설 C</t>
        </is>
      </c>
      <c r="J296" s="6" t="inlineStr"/>
      <c r="K296" s="6" t="inlineStr">
        <is>
          <t>가설 C(속도 구조)</t>
        </is>
      </c>
      <c r="L296" s="6" t="inlineStr">
        <is>
          <t>O</t>
        </is>
      </c>
      <c r="M296" s="6" t="inlineStr">
        <is>
          <t>O</t>
        </is>
      </c>
      <c r="N296" s="6" t="inlineStr"/>
      <c r="O296" s="12" t="n">
        <v>1</v>
      </c>
      <c r="P296" s="12" t="n">
        <v>0</v>
      </c>
      <c r="Q296" s="6" t="n">
        <v>123</v>
      </c>
      <c r="R296" s="6" t="n">
        <v>123</v>
      </c>
      <c r="S296" s="6" t="inlineStr"/>
    </row>
    <row r="297">
      <c r="A297" s="6" t="n">
        <v>296</v>
      </c>
      <c r="B297" s="6" t="inlineStr">
        <is>
          <t>fh_stay_frac_q50</t>
        </is>
      </c>
      <c r="C297" s="6" t="inlineStr">
        <is>
          <t>체류점</t>
        </is>
      </c>
      <c r="D297" s="6" t="inlineStr">
        <is>
          <t>체류점</t>
        </is>
      </c>
      <c r="E297" s="6" t="inlineStr">
        <is>
          <t>stay_frac</t>
        </is>
      </c>
      <c r="F297" s="7" t="inlineStr">
        <is>
          <t>체류점에 속한 점 비율</t>
        </is>
      </c>
      <c r="G297" s="7" t="inlineStr">
        <is>
          <t>조업 시간대 1시간 값들의 선박별 중앙값</t>
        </is>
      </c>
      <c r="H297" s="6" t="inlineStr">
        <is>
          <t>L1→L3</t>
        </is>
      </c>
      <c r="I297" s="6" t="inlineStr">
        <is>
          <t>민성</t>
        </is>
      </c>
      <c r="J297" s="6" t="inlineStr"/>
      <c r="K297" s="6" t="inlineStr">
        <is>
          <t>가설 관련</t>
        </is>
      </c>
      <c r="L297" s="6" t="inlineStr">
        <is>
          <t>O</t>
        </is>
      </c>
      <c r="M297" s="6" t="inlineStr">
        <is>
          <t>O</t>
        </is>
      </c>
      <c r="N297" s="6" t="inlineStr"/>
      <c r="O297" s="12" t="n">
        <v>0.6</v>
      </c>
      <c r="P297" s="12" t="n">
        <v>0</v>
      </c>
      <c r="Q297" s="6" t="n">
        <v>241</v>
      </c>
      <c r="R297" s="6" t="n">
        <v>283</v>
      </c>
      <c r="S297" s="6" t="inlineStr">
        <is>
          <t>mv_stay_frac_median</t>
        </is>
      </c>
    </row>
    <row r="298">
      <c r="A298" s="6" t="n">
        <v>297</v>
      </c>
      <c r="B298" s="6" t="inlineStr">
        <is>
          <t>fh_uniq_pos_ratio_q50</t>
        </is>
      </c>
      <c r="C298" s="6" t="inlineStr">
        <is>
          <t>품질·기록량</t>
        </is>
      </c>
      <c r="D298" s="6" t="inlineStr">
        <is>
          <t>기록량</t>
        </is>
      </c>
      <c r="E298" s="6" t="inlineStr">
        <is>
          <t>uniq_pos_ratio</t>
        </is>
      </c>
      <c r="F298" s="7" t="inlineStr">
        <is>
          <t>고유 위치(10m 격자) 비율: 낮으면 제자리</t>
        </is>
      </c>
      <c r="G298" s="7" t="inlineStr">
        <is>
          <t>조업 시간대 1시간 값들의 선박별 중앙값</t>
        </is>
      </c>
      <c r="H298" s="6" t="inlineStr">
        <is>
          <t>L1→L3</t>
        </is>
      </c>
      <c r="I298" s="6" t="inlineStr">
        <is>
          <t>나연</t>
        </is>
      </c>
      <c r="J298" s="6" t="inlineStr"/>
      <c r="K298" s="6" t="inlineStr"/>
      <c r="L298" s="6" t="inlineStr">
        <is>
          <t>O</t>
        </is>
      </c>
      <c r="M298" s="6" t="inlineStr">
        <is>
          <t>O</t>
        </is>
      </c>
      <c r="N298" s="6" t="inlineStr"/>
      <c r="O298" s="12" t="n">
        <v>0.6</v>
      </c>
      <c r="P298" s="12" t="n">
        <v>0</v>
      </c>
      <c r="Q298" s="6" t="n">
        <v>244</v>
      </c>
      <c r="R298" s="6" t="n">
        <v>274</v>
      </c>
      <c r="S298" s="6" t="inlineStr">
        <is>
          <t>mv_uniq_pos_ratio_median</t>
        </is>
      </c>
    </row>
    <row r="299">
      <c r="A299" s="6" t="n">
        <v>298</v>
      </c>
      <c r="B299" s="6" t="inlineStr">
        <is>
          <t>fh_dist_m_q50</t>
        </is>
      </c>
      <c r="C299" s="6" t="inlineStr">
        <is>
          <t>이동량·공간범위</t>
        </is>
      </c>
      <c r="D299" s="6" t="inlineStr">
        <is>
          <t>이동거리</t>
        </is>
      </c>
      <c r="E299" s="6" t="inlineStr">
        <is>
          <t>dist_m</t>
        </is>
      </c>
      <c r="F299" s="7" t="inlineStr">
        <is>
          <t>평활 경로 이동거리(m, 메인 거리)</t>
        </is>
      </c>
      <c r="G299" s="7" t="inlineStr">
        <is>
          <t>조업 시간대 1시간 값들의 선박별 중앙값</t>
        </is>
      </c>
      <c r="H299" s="6" t="inlineStr">
        <is>
          <t>L1→L3</t>
        </is>
      </c>
      <c r="I299" s="6" t="inlineStr">
        <is>
          <t>나연</t>
        </is>
      </c>
      <c r="J299" s="6" t="inlineStr"/>
      <c r="K299" s="6" t="inlineStr"/>
      <c r="L299" s="6" t="inlineStr">
        <is>
          <t>O</t>
        </is>
      </c>
      <c r="M299" s="6" t="inlineStr">
        <is>
          <t>O</t>
        </is>
      </c>
      <c r="N299" s="6" t="inlineStr"/>
      <c r="O299" s="12" t="n">
        <v>0.2</v>
      </c>
      <c r="P299" s="12" t="n">
        <v>0</v>
      </c>
      <c r="Q299" s="6" t="n">
        <v>274</v>
      </c>
      <c r="R299" s="6" t="n">
        <v>157</v>
      </c>
      <c r="S299" s="6" t="inlineStr">
        <is>
          <t>fh_sp_p90_q50</t>
        </is>
      </c>
    </row>
    <row r="300">
      <c r="A300" s="6" t="n">
        <v>299</v>
      </c>
      <c r="B300" s="6" t="inlineStr">
        <is>
          <t>fh_ks_speed_med_q90</t>
        </is>
      </c>
      <c r="C300" s="6" t="inlineStr">
        <is>
          <t>속도 구조(C)</t>
        </is>
      </c>
      <c r="D300" s="6" t="inlineStr">
        <is>
          <t>5-step 강건 속도</t>
        </is>
      </c>
      <c r="E300" s="6" t="inlineStr">
        <is>
          <t>ks_speed_med</t>
        </is>
      </c>
      <c r="F300" s="7" t="inlineStr">
        <is>
          <t>5-step 속도 중앙값(kn)</t>
        </is>
      </c>
      <c r="G300" s="7" t="inlineStr">
        <is>
          <t>조업 시간대 1시간 값들의 선박별 90% 분위</t>
        </is>
      </c>
      <c r="H300" s="6" t="inlineStr">
        <is>
          <t>L1→L3</t>
        </is>
      </c>
      <c r="I300" s="6" t="inlineStr">
        <is>
          <t>민성</t>
        </is>
      </c>
      <c r="J300" s="6" t="inlineStr"/>
      <c r="K300" s="6" t="inlineStr"/>
      <c r="L300" s="6" t="inlineStr">
        <is>
          <t>O</t>
        </is>
      </c>
      <c r="M300" s="6" t="inlineStr">
        <is>
          <t>O</t>
        </is>
      </c>
      <c r="N300" s="6" t="inlineStr"/>
      <c r="O300" s="12" t="n">
        <v>1</v>
      </c>
      <c r="P300" s="12" t="n">
        <v>0</v>
      </c>
      <c r="Q300" s="6" t="n">
        <v>126</v>
      </c>
      <c r="R300" s="6" t="n">
        <v>272</v>
      </c>
      <c r="S300" s="6" t="inlineStr"/>
    </row>
    <row r="301">
      <c r="A301" s="6" t="n">
        <v>300</v>
      </c>
      <c r="B301" s="6" t="inlineStr">
        <is>
          <t>fh_ks_speed_p90_q90</t>
        </is>
      </c>
      <c r="C301" s="6" t="inlineStr">
        <is>
          <t>속도 구조(C)</t>
        </is>
      </c>
      <c r="D301" s="6" t="inlineStr">
        <is>
          <t>5-step 강건 속도</t>
        </is>
      </c>
      <c r="E301" s="6" t="inlineStr">
        <is>
          <t>ks_speed_p90</t>
        </is>
      </c>
      <c r="F301" s="7" t="inlineStr">
        <is>
          <t>5-step 속도 90% 분위</t>
        </is>
      </c>
      <c r="G301" s="7" t="inlineStr">
        <is>
          <t>조업 시간대 1시간 값들의 선박별 90% 분위</t>
        </is>
      </c>
      <c r="H301" s="6" t="inlineStr">
        <is>
          <t>L1→L3</t>
        </is>
      </c>
      <c r="I301" s="6" t="inlineStr">
        <is>
          <t>민성</t>
        </is>
      </c>
      <c r="J301" s="6" t="inlineStr"/>
      <c r="K301" s="6" t="inlineStr"/>
      <c r="L301" s="6" t="inlineStr">
        <is>
          <t>O</t>
        </is>
      </c>
      <c r="M301" s="6" t="inlineStr">
        <is>
          <t>O</t>
        </is>
      </c>
      <c r="N301" s="6" t="inlineStr"/>
      <c r="O301" s="12" t="n">
        <v>1</v>
      </c>
      <c r="P301" s="12" t="n">
        <v>0</v>
      </c>
      <c r="Q301" s="6" t="n">
        <v>160</v>
      </c>
      <c r="R301" s="6" t="n">
        <v>310</v>
      </c>
      <c r="S301" s="6" t="inlineStr"/>
    </row>
    <row r="302">
      <c r="A302" s="6" t="n">
        <v>301</v>
      </c>
      <c r="B302" s="6" t="inlineStr">
        <is>
          <t>fh_rg_med_m_q90</t>
        </is>
      </c>
      <c r="C302" s="6" t="inlineStr">
        <is>
          <t>이동량·공간범위</t>
        </is>
      </c>
      <c r="D302" s="6" t="inlineStr">
        <is>
          <t>활동 범위(1시간)</t>
        </is>
      </c>
      <c r="E302" s="6" t="inlineStr">
        <is>
          <t>rg_med_m</t>
        </is>
      </c>
      <c r="F302" s="7" t="inlineStr">
        <is>
          <t>중앙 반경: 중앙점까지 거리의 중앙값(m, 지터 강건)</t>
        </is>
      </c>
      <c r="G302" s="7" t="inlineStr">
        <is>
          <t>조업 시간대 1시간 값들의 선박별 90% 분위</t>
        </is>
      </c>
      <c r="H302" s="6" t="inlineStr">
        <is>
          <t>L1→L3</t>
        </is>
      </c>
      <c r="I302" s="6" t="inlineStr">
        <is>
          <t>민성</t>
        </is>
      </c>
      <c r="J302" s="6" t="inlineStr"/>
      <c r="K302" s="6" t="inlineStr"/>
      <c r="L302" s="6" t="inlineStr">
        <is>
          <t>O</t>
        </is>
      </c>
      <c r="M302" s="6" t="inlineStr">
        <is>
          <t>O</t>
        </is>
      </c>
      <c r="N302" s="6" t="inlineStr"/>
      <c r="O302" s="12" t="n">
        <v>1</v>
      </c>
      <c r="P302" s="12" t="n">
        <v>0</v>
      </c>
      <c r="Q302" s="6" t="n">
        <v>152</v>
      </c>
      <c r="R302" s="6" t="n">
        <v>291</v>
      </c>
      <c r="S302" s="6" t="inlineStr"/>
    </row>
    <row r="303">
      <c r="A303" s="6" t="n">
        <v>302</v>
      </c>
      <c r="B303" s="6" t="inlineStr">
        <is>
          <t>fh_ks_heading_R_q90</t>
        </is>
      </c>
      <c r="C303" s="6" t="inlineStr">
        <is>
          <t>방향·회전(D)</t>
        </is>
      </c>
      <c r="D303" s="6" t="inlineStr">
        <is>
          <t>방향 일관성</t>
        </is>
      </c>
      <c r="E303" s="6" t="inlineStr">
        <is>
          <t>ks_heading_R</t>
        </is>
      </c>
      <c r="F303" s="7" t="inlineStr">
        <is>
          <t>5-step 방향 일관성</t>
        </is>
      </c>
      <c r="G303" s="7" t="inlineStr">
        <is>
          <t>조업 시간대 1시간 값들의 선박별 90% 분위</t>
        </is>
      </c>
      <c r="H303" s="6" t="inlineStr">
        <is>
          <t>L1→L3</t>
        </is>
      </c>
      <c r="I303" s="6" t="inlineStr">
        <is>
          <t>민성</t>
        </is>
      </c>
      <c r="J303" s="6" t="inlineStr"/>
      <c r="K303" s="6" t="inlineStr"/>
      <c r="L303" s="6" t="inlineStr">
        <is>
          <t>O</t>
        </is>
      </c>
      <c r="M303" s="6" t="inlineStr">
        <is>
          <t>O</t>
        </is>
      </c>
      <c r="N303" s="6" t="inlineStr"/>
      <c r="O303" s="12" t="n">
        <v>1</v>
      </c>
      <c r="P303" s="12" t="n">
        <v>0</v>
      </c>
      <c r="Q303" s="6" t="n">
        <v>181</v>
      </c>
      <c r="R303" s="6" t="n">
        <v>267</v>
      </c>
      <c r="S303" s="6" t="inlineStr"/>
    </row>
    <row r="304">
      <c r="A304" s="6" t="n">
        <v>303</v>
      </c>
      <c r="B304" s="6" t="inlineStr">
        <is>
          <t>fh_ks_turn_med_q90</t>
        </is>
      </c>
      <c r="C304" s="6" t="inlineStr">
        <is>
          <t>방향·회전(D)</t>
        </is>
      </c>
      <c r="D304" s="6" t="inlineStr">
        <is>
          <t>회전각</t>
        </is>
      </c>
      <c r="E304" s="6" t="inlineStr">
        <is>
          <t>ks_turn_med</t>
        </is>
      </c>
      <c r="F304" s="7" t="inlineStr">
        <is>
          <t>5-step 회전각 중앙값(°)</t>
        </is>
      </c>
      <c r="G304" s="7" t="inlineStr">
        <is>
          <t>조업 시간대 1시간 값들의 선박별 90% 분위</t>
        </is>
      </c>
      <c r="H304" s="6" t="inlineStr">
        <is>
          <t>L1→L3</t>
        </is>
      </c>
      <c r="I304" s="6" t="inlineStr">
        <is>
          <t>민성</t>
        </is>
      </c>
      <c r="J304" s="6" t="inlineStr"/>
      <c r="K304" s="6" t="inlineStr"/>
      <c r="L304" s="6" t="inlineStr">
        <is>
          <t>O</t>
        </is>
      </c>
      <c r="M304" s="6" t="inlineStr">
        <is>
          <t>O</t>
        </is>
      </c>
      <c r="N304" s="6" t="inlineStr"/>
      <c r="O304" s="12" t="n">
        <v>1</v>
      </c>
      <c r="P304" s="12" t="n">
        <v>0</v>
      </c>
      <c r="Q304" s="6" t="n">
        <v>39</v>
      </c>
      <c r="R304" s="6" t="n">
        <v>121</v>
      </c>
      <c r="S304" s="6" t="inlineStr"/>
    </row>
    <row r="305">
      <c r="A305" s="13" t="n">
        <v>304</v>
      </c>
      <c r="B305" s="13" t="inlineStr">
        <is>
          <t>fh_n_stays_q90</t>
        </is>
      </c>
      <c r="C305" s="13" t="inlineStr">
        <is>
          <t>체류점</t>
        </is>
      </c>
      <c r="D305" s="13" t="inlineStr">
        <is>
          <t>체류점</t>
        </is>
      </c>
      <c r="E305" s="13" t="inlineStr">
        <is>
          <t>n_stays</t>
        </is>
      </c>
      <c r="F305" s="14" t="inlineStr">
        <is>
          <t>체류점 횟수 (반경 30m 안에 3점 이상 머묾)</t>
        </is>
      </c>
      <c r="G305" s="14" t="inlineStr">
        <is>
          <t>조업 시간대 1시간 값들의 선박별 90% 분위</t>
        </is>
      </c>
      <c r="H305" s="13" t="inlineStr">
        <is>
          <t>L1→L3</t>
        </is>
      </c>
      <c r="I305" s="13" t="inlineStr">
        <is>
          <t>민성</t>
        </is>
      </c>
      <c r="J305" s="13" t="inlineStr"/>
      <c r="K305" s="13" t="inlineStr">
        <is>
          <t>가설 관련</t>
        </is>
      </c>
      <c r="L305" s="13" t="inlineStr">
        <is>
          <t>O</t>
        </is>
      </c>
      <c r="M305" s="13" t="inlineStr">
        <is>
          <t>O</t>
        </is>
      </c>
      <c r="N305" s="13" t="inlineStr">
        <is>
          <t>O</t>
        </is>
      </c>
      <c r="O305" s="15" t="n">
        <v>1</v>
      </c>
      <c r="P305" s="15" t="n">
        <v>0.4</v>
      </c>
      <c r="Q305" s="13" t="n">
        <v>25</v>
      </c>
      <c r="R305" s="13" t="n">
        <v>28</v>
      </c>
      <c r="S305" s="13" t="inlineStr"/>
    </row>
    <row r="306">
      <c r="A306" s="6" t="n">
        <v>305</v>
      </c>
      <c r="B306" s="6" t="inlineStr">
        <is>
          <t>fh_ks_straight_max_m_q90</t>
        </is>
      </c>
      <c r="C306" s="6" t="inlineStr">
        <is>
          <t>경로형태·직선투망(B)</t>
        </is>
      </c>
      <c r="D306" s="6" t="inlineStr">
        <is>
          <t>직선 투망 형상</t>
        </is>
      </c>
      <c r="E306" s="6" t="inlineStr">
        <is>
          <t>ks_straight_max_m</t>
        </is>
      </c>
      <c r="F306" s="7" t="inlineStr">
        <is>
          <t>5-step 최장 직선 이동(m, 회전 15° 미만 연속) = 투망 길이 추정</t>
        </is>
      </c>
      <c r="G306" s="7" t="inlineStr">
        <is>
          <t>조업 시간대 1시간 값들의 선박별 90% 분위</t>
        </is>
      </c>
      <c r="H306" s="6" t="inlineStr">
        <is>
          <t>L1→L3</t>
        </is>
      </c>
      <c r="I306" s="6" t="inlineStr">
        <is>
          <t>민성·가설 B</t>
        </is>
      </c>
      <c r="J306" s="6" t="inlineStr"/>
      <c r="K306" s="6" t="inlineStr">
        <is>
          <t>가설 B(직선 투망)</t>
        </is>
      </c>
      <c r="L306" s="6" t="inlineStr">
        <is>
          <t>O</t>
        </is>
      </c>
      <c r="M306" s="6" t="inlineStr">
        <is>
          <t>O</t>
        </is>
      </c>
      <c r="N306" s="6" t="inlineStr"/>
      <c r="O306" s="12" t="n">
        <v>1</v>
      </c>
      <c r="P306" s="12" t="n">
        <v>0</v>
      </c>
      <c r="Q306" s="6" t="n">
        <v>189</v>
      </c>
      <c r="R306" s="6" t="n">
        <v>258</v>
      </c>
      <c r="S306" s="6" t="inlineStr"/>
    </row>
    <row r="307">
      <c r="A307" s="6" t="n">
        <v>306</v>
      </c>
      <c r="B307" s="6" t="inlineStr">
        <is>
          <t>fh_slow_run_max_min_q90</t>
        </is>
      </c>
      <c r="C307" s="6" t="inlineStr">
        <is>
          <t>속도 구조(C)</t>
        </is>
      </c>
      <c r="D307" s="6" t="inlineStr">
        <is>
          <t>저속 연속·속도 다양성</t>
        </is>
      </c>
      <c r="E307" s="6" t="inlineStr">
        <is>
          <t>slow_run_max_min</t>
        </is>
      </c>
      <c r="F307" s="7" t="inlineStr">
        <is>
          <t>저속(0.3~2kn) 최장 연속 시간(분) = 양망 추정</t>
        </is>
      </c>
      <c r="G307" s="7" t="inlineStr">
        <is>
          <t>조업 시간대 1시간 값들의 선박별 90% 분위</t>
        </is>
      </c>
      <c r="H307" s="6" t="inlineStr">
        <is>
          <t>L1→L3</t>
        </is>
      </c>
      <c r="I307" s="6" t="inlineStr">
        <is>
          <t>가설 C</t>
        </is>
      </c>
      <c r="J307" s="6" t="inlineStr"/>
      <c r="K307" s="6" t="inlineStr">
        <is>
          <t>가설 C(속도 구조)</t>
        </is>
      </c>
      <c r="L307" s="6" t="inlineStr">
        <is>
          <t>O</t>
        </is>
      </c>
      <c r="M307" s="6" t="inlineStr">
        <is>
          <t>O</t>
        </is>
      </c>
      <c r="N307" s="6" t="inlineStr"/>
      <c r="O307" s="12" t="n">
        <v>1</v>
      </c>
      <c r="P307" s="12" t="n">
        <v>0</v>
      </c>
      <c r="Q307" s="6" t="n">
        <v>149</v>
      </c>
      <c r="R307" s="6" t="n">
        <v>262</v>
      </c>
      <c r="S307" s="6" t="inlineStr"/>
    </row>
    <row r="308">
      <c r="A308" s="6" t="n">
        <v>307</v>
      </c>
      <c r="B308" s="6" t="inlineStr">
        <is>
          <t>fh_sp_p50_q90</t>
        </is>
      </c>
      <c r="C308" s="6" t="inlineStr">
        <is>
          <t>속도 구조(C)</t>
        </is>
      </c>
      <c r="D308" s="6" t="inlineStr">
        <is>
          <t>10분 구간 속도</t>
        </is>
      </c>
      <c r="E308" s="6" t="inlineStr">
        <is>
          <t>sp_p50</t>
        </is>
      </c>
      <c r="F308" s="7" t="inlineStr">
        <is>
          <t>10분 속도 중앙값</t>
        </is>
      </c>
      <c r="G308" s="7" t="inlineStr">
        <is>
          <t>조업 시간대 1시간 값들의 선박별 90% 분위</t>
        </is>
      </c>
      <c r="H308" s="6" t="inlineStr">
        <is>
          <t>L1→L3</t>
        </is>
      </c>
      <c r="I308" s="6" t="inlineStr">
        <is>
          <t>나연</t>
        </is>
      </c>
      <c r="J308" s="6" t="inlineStr"/>
      <c r="K308" s="6" t="inlineStr"/>
      <c r="L308" s="6" t="inlineStr">
        <is>
          <t>O</t>
        </is>
      </c>
      <c r="M308" s="6" t="inlineStr">
        <is>
          <t>O</t>
        </is>
      </c>
      <c r="N308" s="6" t="inlineStr"/>
      <c r="O308" s="12" t="n">
        <v>1</v>
      </c>
      <c r="P308" s="12" t="n">
        <v>0</v>
      </c>
      <c r="Q308" s="6" t="n">
        <v>179</v>
      </c>
      <c r="R308" s="6" t="n">
        <v>282</v>
      </c>
      <c r="S308" s="6" t="inlineStr"/>
    </row>
    <row r="309">
      <c r="A309" s="6" t="n">
        <v>308</v>
      </c>
      <c r="B309" s="6" t="inlineStr">
        <is>
          <t>fh_sp_p90_q90</t>
        </is>
      </c>
      <c r="C309" s="6" t="inlineStr">
        <is>
          <t>속도 구조(C)</t>
        </is>
      </c>
      <c r="D309" s="6" t="inlineStr">
        <is>
          <t>10분 구간 속도</t>
        </is>
      </c>
      <c r="E309" s="6" t="inlineStr">
        <is>
          <t>sp_p90</t>
        </is>
      </c>
      <c r="F309" s="7" t="inlineStr">
        <is>
          <t>10분 속도 90% 분위</t>
        </is>
      </c>
      <c r="G309" s="7" t="inlineStr">
        <is>
          <t>조업 시간대 1시간 값들의 선박별 90% 분위</t>
        </is>
      </c>
      <c r="H309" s="6" t="inlineStr">
        <is>
          <t>L1→L3</t>
        </is>
      </c>
      <c r="I309" s="6" t="inlineStr">
        <is>
          <t>나연</t>
        </is>
      </c>
      <c r="J309" s="6" t="inlineStr"/>
      <c r="K309" s="6" t="inlineStr"/>
      <c r="L309" s="6" t="inlineStr">
        <is>
          <t>O</t>
        </is>
      </c>
      <c r="M309" s="6" t="inlineStr">
        <is>
          <t>O</t>
        </is>
      </c>
      <c r="N309" s="6" t="inlineStr"/>
      <c r="O309" s="12" t="n">
        <v>0.2</v>
      </c>
      <c r="P309" s="12" t="n">
        <v>0</v>
      </c>
      <c r="Q309" s="6" t="n">
        <v>302</v>
      </c>
      <c r="R309" s="6" t="n">
        <v>315</v>
      </c>
      <c r="S309" s="6" t="inlineStr">
        <is>
          <t>fh_dist_m_q90</t>
        </is>
      </c>
    </row>
    <row r="310">
      <c r="A310" s="13" t="n">
        <v>309</v>
      </c>
      <c r="B310" s="13" t="inlineStr">
        <is>
          <t>fh_turn_mean_q90</t>
        </is>
      </c>
      <c r="C310" s="13" t="inlineStr">
        <is>
          <t>방향·회전(D)</t>
        </is>
      </c>
      <c r="D310" s="13" t="inlineStr">
        <is>
          <t>회전각</t>
        </is>
      </c>
      <c r="E310" s="13" t="inlineStr">
        <is>
          <t>turn_mean</t>
        </is>
      </c>
      <c r="F310" s="14" t="inlineStr">
        <is>
          <t>회전각 평균(°)</t>
        </is>
      </c>
      <c r="G310" s="14" t="inlineStr">
        <is>
          <t>조업 시간대 1시간 값들의 선박별 90% 분위</t>
        </is>
      </c>
      <c r="H310" s="13" t="inlineStr">
        <is>
          <t>L1→L3</t>
        </is>
      </c>
      <c r="I310" s="13" t="inlineStr">
        <is>
          <t>공통</t>
        </is>
      </c>
      <c r="J310" s="13" t="inlineStr"/>
      <c r="K310" s="13" t="inlineStr"/>
      <c r="L310" s="13" t="inlineStr">
        <is>
          <t>O</t>
        </is>
      </c>
      <c r="M310" s="13" t="inlineStr">
        <is>
          <t>O</t>
        </is>
      </c>
      <c r="N310" s="13" t="inlineStr">
        <is>
          <t>O</t>
        </is>
      </c>
      <c r="O310" s="15" t="n">
        <v>1</v>
      </c>
      <c r="P310" s="15" t="n">
        <v>0.6</v>
      </c>
      <c r="Q310" s="13" t="n">
        <v>33</v>
      </c>
      <c r="R310" s="13" t="n">
        <v>14</v>
      </c>
      <c r="S310" s="13" t="inlineStr"/>
    </row>
    <row r="311">
      <c r="A311" s="6" t="n">
        <v>310</v>
      </c>
      <c r="B311" s="6" t="inlineStr">
        <is>
          <t>fh_straightness_q90</t>
        </is>
      </c>
      <c r="C311" s="6" t="inlineStr">
        <is>
          <t>경로형태·직선투망(B)</t>
        </is>
      </c>
      <c r="D311" s="6" t="inlineStr">
        <is>
          <t>직진도·구불거림</t>
        </is>
      </c>
      <c r="E311" s="6" t="inlineStr">
        <is>
          <t>straightness</t>
        </is>
      </c>
      <c r="F311" s="7" t="inlineStr">
        <is>
          <t>직진도 = 변위/거리 (0~1, 1=일직선)</t>
        </is>
      </c>
      <c r="G311" s="7" t="inlineStr">
        <is>
          <t>조업 시간대 1시간 값들의 선박별 90% 분위</t>
        </is>
      </c>
      <c r="H311" s="6" t="inlineStr">
        <is>
          <t>L1→L3</t>
        </is>
      </c>
      <c r="I311" s="6" t="inlineStr">
        <is>
          <t>공통</t>
        </is>
      </c>
      <c r="J311" s="6" t="inlineStr"/>
      <c r="K311" s="6" t="inlineStr"/>
      <c r="L311" s="6" t="inlineStr">
        <is>
          <t>O</t>
        </is>
      </c>
      <c r="M311" s="6" t="inlineStr">
        <is>
          <t>O</t>
        </is>
      </c>
      <c r="N311" s="6" t="inlineStr"/>
      <c r="O311" s="12" t="n">
        <v>1</v>
      </c>
      <c r="P311" s="12" t="n">
        <v>0</v>
      </c>
      <c r="Q311" s="6" t="n">
        <v>100</v>
      </c>
      <c r="R311" s="6" t="n">
        <v>211</v>
      </c>
      <c r="S311" s="6" t="inlineStr"/>
    </row>
    <row r="312">
      <c r="A312" s="13" t="n">
        <v>311</v>
      </c>
      <c r="B312" s="13" t="inlineStr">
        <is>
          <t>fh_pca_elong_q90</t>
        </is>
      </c>
      <c r="C312" s="13" t="inlineStr">
        <is>
          <t>경로형태·직선투망(B)</t>
        </is>
      </c>
      <c r="D312" s="13" t="inlineStr">
        <is>
          <t>직선 투망 형상</t>
        </is>
      </c>
      <c r="E312" s="13" t="inlineStr">
        <is>
          <t>pca_elong</t>
        </is>
      </c>
      <c r="F312" s="14" t="inlineStr">
        <is>
          <t>PCA 연신율 log(1+λ1/λ2): 직선 모양일수록 큼</t>
        </is>
      </c>
      <c r="G312" s="14" t="inlineStr">
        <is>
          <t>조업 시간대 1시간 값들의 선박별 90% 분위</t>
        </is>
      </c>
      <c r="H312" s="13" t="inlineStr">
        <is>
          <t>L1→L3</t>
        </is>
      </c>
      <c r="I312" s="13" t="inlineStr">
        <is>
          <t>가설 B</t>
        </is>
      </c>
      <c r="J312" s="13" t="inlineStr"/>
      <c r="K312" s="13" t="inlineStr">
        <is>
          <t>가설 B(직선 투망)</t>
        </is>
      </c>
      <c r="L312" s="13" t="inlineStr">
        <is>
          <t>O</t>
        </is>
      </c>
      <c r="M312" s="13" t="inlineStr">
        <is>
          <t>O</t>
        </is>
      </c>
      <c r="N312" s="13" t="inlineStr">
        <is>
          <t>O</t>
        </is>
      </c>
      <c r="O312" s="15" t="n">
        <v>1</v>
      </c>
      <c r="P312" s="15" t="n">
        <v>0.6</v>
      </c>
      <c r="Q312" s="13" t="n">
        <v>1</v>
      </c>
      <c r="R312" s="13" t="n">
        <v>13</v>
      </c>
      <c r="S312" s="13" t="inlineStr"/>
    </row>
    <row r="313">
      <c r="A313" s="6" t="n">
        <v>312</v>
      </c>
      <c r="B313" s="6" t="inlineStr">
        <is>
          <t>fh_frac_slow_q90</t>
        </is>
      </c>
      <c r="C313" s="6" t="inlineStr">
        <is>
          <t>속도 구조(C)</t>
        </is>
      </c>
      <c r="D313" s="6" t="inlineStr">
        <is>
          <t>속도 구간 비율</t>
        </is>
      </c>
      <c r="E313" s="6" t="inlineStr">
        <is>
          <t>frac_slow</t>
        </is>
      </c>
      <c r="F313" s="7" t="inlineStr">
        <is>
          <t>저속(0.5~3kn) 구간 비율</t>
        </is>
      </c>
      <c r="G313" s="7" t="inlineStr">
        <is>
          <t>조업 시간대 1시간 값들의 선박별 90% 분위</t>
        </is>
      </c>
      <c r="H313" s="6" t="inlineStr">
        <is>
          <t>L1→L3</t>
        </is>
      </c>
      <c r="I313" s="6" t="inlineStr">
        <is>
          <t>나연</t>
        </is>
      </c>
      <c r="J313" s="6" t="inlineStr"/>
      <c r="K313" s="6" t="inlineStr"/>
      <c r="L313" s="6" t="inlineStr">
        <is>
          <t>O</t>
        </is>
      </c>
      <c r="M313" s="6" t="inlineStr">
        <is>
          <t>O</t>
        </is>
      </c>
      <c r="N313" s="6" t="inlineStr"/>
      <c r="O313" s="12" t="n">
        <v>1</v>
      </c>
      <c r="P313" s="12" t="n">
        <v>0</v>
      </c>
      <c r="Q313" s="6" t="n">
        <v>108</v>
      </c>
      <c r="R313" s="6" t="n">
        <v>238</v>
      </c>
      <c r="S313" s="6" t="inlineStr"/>
    </row>
    <row r="314">
      <c r="A314" s="6" t="n">
        <v>313</v>
      </c>
      <c r="B314" s="6" t="inlineStr">
        <is>
          <t>fh_frac_mid_q90</t>
        </is>
      </c>
      <c r="C314" s="6" t="inlineStr">
        <is>
          <t>속도 구조(C)</t>
        </is>
      </c>
      <c r="D314" s="6" t="inlineStr">
        <is>
          <t>속도 구간 비율</t>
        </is>
      </c>
      <c r="E314" s="6" t="inlineStr">
        <is>
          <t>frac_mid</t>
        </is>
      </c>
      <c r="F314" s="7" t="inlineStr">
        <is>
          <t>중속(3~6kn) 구간 비율</t>
        </is>
      </c>
      <c r="G314" s="7" t="inlineStr">
        <is>
          <t>조업 시간대 1시간 값들의 선박별 90% 분위</t>
        </is>
      </c>
      <c r="H314" s="6" t="inlineStr">
        <is>
          <t>L1→L3</t>
        </is>
      </c>
      <c r="I314" s="6" t="inlineStr">
        <is>
          <t>나연</t>
        </is>
      </c>
      <c r="J314" s="6" t="inlineStr"/>
      <c r="K314" s="6" t="inlineStr"/>
      <c r="L314" s="6" t="inlineStr">
        <is>
          <t>O</t>
        </is>
      </c>
      <c r="M314" s="6" t="inlineStr">
        <is>
          <t>O</t>
        </is>
      </c>
      <c r="N314" s="6" t="inlineStr"/>
      <c r="O314" s="12" t="n">
        <v>1</v>
      </c>
      <c r="P314" s="12" t="n">
        <v>0</v>
      </c>
      <c r="Q314" s="6" t="n">
        <v>169</v>
      </c>
      <c r="R314" s="6" t="n">
        <v>307</v>
      </c>
      <c r="S314" s="6" t="inlineStr"/>
    </row>
    <row r="315">
      <c r="A315" s="6" t="n">
        <v>314</v>
      </c>
      <c r="B315" s="6" t="inlineStr">
        <is>
          <t>fh_path_over_rg_q90</t>
        </is>
      </c>
      <c r="C315" s="6" t="inlineStr">
        <is>
          <t>경로형태·직선투망(B)</t>
        </is>
      </c>
      <c r="D315" s="6" t="inlineStr">
        <is>
          <t>경로 반복도</t>
        </is>
      </c>
      <c r="E315" s="6" t="inlineStr">
        <is>
          <t>path_over_rg</t>
        </is>
      </c>
      <c r="F315" s="7" t="inlineStr">
        <is>
          <t>경로길이/회전반경</t>
        </is>
      </c>
      <c r="G315" s="7" t="inlineStr">
        <is>
          <t>조업 시간대 1시간 값들의 선박별 90% 분위</t>
        </is>
      </c>
      <c r="H315" s="6" t="inlineStr">
        <is>
          <t>L1→L3</t>
        </is>
      </c>
      <c r="I315" s="6" t="inlineStr">
        <is>
          <t>나연</t>
        </is>
      </c>
      <c r="J315" s="6" t="inlineStr"/>
      <c r="K315" s="6" t="inlineStr"/>
      <c r="L315" s="6" t="inlineStr">
        <is>
          <t>O</t>
        </is>
      </c>
      <c r="M315" s="6" t="inlineStr">
        <is>
          <t>O</t>
        </is>
      </c>
      <c r="N315" s="6" t="inlineStr"/>
      <c r="O315" s="12" t="n">
        <v>1</v>
      </c>
      <c r="P315" s="12" t="n">
        <v>0</v>
      </c>
      <c r="Q315" s="6" t="n">
        <v>150</v>
      </c>
      <c r="R315" s="6" t="n">
        <v>149</v>
      </c>
      <c r="S315" s="6" t="inlineStr"/>
    </row>
    <row r="316">
      <c r="A316" s="6" t="n">
        <v>315</v>
      </c>
      <c r="B316" s="6" t="inlineStr">
        <is>
          <t>fh_speed_entropy_q90</t>
        </is>
      </c>
      <c r="C316" s="6" t="inlineStr">
        <is>
          <t>속도 구조(C)</t>
        </is>
      </c>
      <c r="D316" s="6" t="inlineStr">
        <is>
          <t>저속 연속·속도 다양성</t>
        </is>
      </c>
      <c r="E316" s="6" t="inlineStr">
        <is>
          <t>speed_entropy</t>
        </is>
      </c>
      <c r="F316" s="7" t="inlineStr">
        <is>
          <t>속도 구간 분포 엔트로피: 여러 속도를 섞어 쓸수록 큼</t>
        </is>
      </c>
      <c r="G316" s="7" t="inlineStr">
        <is>
          <t>조업 시간대 1시간 값들의 선박별 90% 분위</t>
        </is>
      </c>
      <c r="H316" s="6" t="inlineStr">
        <is>
          <t>L1→L3</t>
        </is>
      </c>
      <c r="I316" s="6" t="inlineStr">
        <is>
          <t>가설 C</t>
        </is>
      </c>
      <c r="J316" s="6" t="inlineStr"/>
      <c r="K316" s="6" t="inlineStr">
        <is>
          <t>가설 C(속도 구조)</t>
        </is>
      </c>
      <c r="L316" s="6" t="inlineStr">
        <is>
          <t>O</t>
        </is>
      </c>
      <c r="M316" s="6" t="inlineStr">
        <is>
          <t>O</t>
        </is>
      </c>
      <c r="N316" s="6" t="inlineStr"/>
      <c r="O316" s="12" t="n">
        <v>1</v>
      </c>
      <c r="P316" s="12" t="n">
        <v>0</v>
      </c>
      <c r="Q316" s="6" t="n">
        <v>125</v>
      </c>
      <c r="R316" s="6" t="n">
        <v>319</v>
      </c>
      <c r="S316" s="6" t="inlineStr"/>
    </row>
    <row r="317">
      <c r="A317" s="6" t="n">
        <v>316</v>
      </c>
      <c r="B317" s="6" t="inlineStr">
        <is>
          <t>fh_stay_frac_q90</t>
        </is>
      </c>
      <c r="C317" s="6" t="inlineStr">
        <is>
          <t>체류점</t>
        </is>
      </c>
      <c r="D317" s="6" t="inlineStr">
        <is>
          <t>체류점</t>
        </is>
      </c>
      <c r="E317" s="6" t="inlineStr">
        <is>
          <t>stay_frac</t>
        </is>
      </c>
      <c r="F317" s="7" t="inlineStr">
        <is>
          <t>체류점에 속한 점 비율</t>
        </is>
      </c>
      <c r="G317" s="7" t="inlineStr">
        <is>
          <t>조업 시간대 1시간 값들의 선박별 90% 분위</t>
        </is>
      </c>
      <c r="H317" s="6" t="inlineStr">
        <is>
          <t>L1→L3</t>
        </is>
      </c>
      <c r="I317" s="6" t="inlineStr">
        <is>
          <t>민성</t>
        </is>
      </c>
      <c r="J317" s="6" t="inlineStr"/>
      <c r="K317" s="6" t="inlineStr">
        <is>
          <t>가설 관련</t>
        </is>
      </c>
      <c r="L317" s="6" t="inlineStr">
        <is>
          <t>O</t>
        </is>
      </c>
      <c r="M317" s="6" t="inlineStr">
        <is>
          <t>O</t>
        </is>
      </c>
      <c r="N317" s="6" t="inlineStr"/>
      <c r="O317" s="12" t="n">
        <v>1</v>
      </c>
      <c r="P317" s="12" t="n">
        <v>0</v>
      </c>
      <c r="Q317" s="6" t="n">
        <v>122</v>
      </c>
      <c r="R317" s="6" t="n">
        <v>96</v>
      </c>
      <c r="S317" s="6" t="inlineStr"/>
    </row>
    <row r="318">
      <c r="A318" s="6" t="n">
        <v>317</v>
      </c>
      <c r="B318" s="6" t="inlineStr">
        <is>
          <t>fh_uniq_pos_ratio_q90</t>
        </is>
      </c>
      <c r="C318" s="6" t="inlineStr">
        <is>
          <t>품질·기록량</t>
        </is>
      </c>
      <c r="D318" s="6" t="inlineStr">
        <is>
          <t>기록량</t>
        </is>
      </c>
      <c r="E318" s="6" t="inlineStr">
        <is>
          <t>uniq_pos_ratio</t>
        </is>
      </c>
      <c r="F318" s="7" t="inlineStr">
        <is>
          <t>고유 위치(10m 격자) 비율: 낮으면 제자리</t>
        </is>
      </c>
      <c r="G318" s="7" t="inlineStr">
        <is>
          <t>조업 시간대 1시간 값들의 선박별 90% 분위</t>
        </is>
      </c>
      <c r="H318" s="6" t="inlineStr">
        <is>
          <t>L1→L3</t>
        </is>
      </c>
      <c r="I318" s="6" t="inlineStr">
        <is>
          <t>나연</t>
        </is>
      </c>
      <c r="J318" s="6" t="inlineStr"/>
      <c r="K318" s="6" t="inlineStr"/>
      <c r="L318" s="6" t="inlineStr">
        <is>
          <t>O</t>
        </is>
      </c>
      <c r="M318" s="6" t="inlineStr">
        <is>
          <t>O</t>
        </is>
      </c>
      <c r="N318" s="6" t="inlineStr"/>
      <c r="O318" s="12" t="n">
        <v>1</v>
      </c>
      <c r="P318" s="12" t="n">
        <v>0.2</v>
      </c>
      <c r="Q318" s="6" t="n">
        <v>18</v>
      </c>
      <c r="R318" s="6" t="n">
        <v>64</v>
      </c>
      <c r="S318" s="6" t="inlineStr"/>
    </row>
    <row r="319">
      <c r="A319" s="6" t="n">
        <v>318</v>
      </c>
      <c r="B319" s="6" t="inlineStr">
        <is>
          <t>fh_dist_m_q90</t>
        </is>
      </c>
      <c r="C319" s="6" t="inlineStr">
        <is>
          <t>이동량·공간범위</t>
        </is>
      </c>
      <c r="D319" s="6" t="inlineStr">
        <is>
          <t>이동거리</t>
        </is>
      </c>
      <c r="E319" s="6" t="inlineStr">
        <is>
          <t>dist_m</t>
        </is>
      </c>
      <c r="F319" s="7" t="inlineStr">
        <is>
          <t>평활 경로 이동거리(m, 메인 거리)</t>
        </is>
      </c>
      <c r="G319" s="7" t="inlineStr">
        <is>
          <t>조업 시간대 1시간 값들의 선박별 90% 분위</t>
        </is>
      </c>
      <c r="H319" s="6" t="inlineStr">
        <is>
          <t>L1→L3</t>
        </is>
      </c>
      <c r="I319" s="6" t="inlineStr">
        <is>
          <t>나연</t>
        </is>
      </c>
      <c r="J319" s="6" t="inlineStr"/>
      <c r="K319" s="6" t="inlineStr"/>
      <c r="L319" s="6" t="inlineStr">
        <is>
          <t>O</t>
        </is>
      </c>
      <c r="M319" s="6" t="inlineStr">
        <is>
          <t>O</t>
        </is>
      </c>
      <c r="N319" s="6" t="inlineStr"/>
      <c r="O319" s="12" t="n">
        <v>0.8</v>
      </c>
      <c r="P319" s="12" t="n">
        <v>0</v>
      </c>
      <c r="Q319" s="6" t="n">
        <v>205</v>
      </c>
      <c r="R319" s="6" t="n">
        <v>166</v>
      </c>
      <c r="S319" s="6" t="inlineStr"/>
    </row>
    <row r="320">
      <c r="A320" s="13" t="n">
        <v>319</v>
      </c>
      <c r="B320" s="13" t="inlineStr">
        <is>
          <t>fishing_night_share</t>
        </is>
      </c>
      <c r="C320" s="13" t="inlineStr">
        <is>
          <t>하루 리듬·시각(E)</t>
        </is>
      </c>
      <c r="D320" s="13" t="inlineStr">
        <is>
          <t>시간대 비중</t>
        </is>
      </c>
      <c r="E320" s="13" t="inlineStr">
        <is>
          <t>fishing_night_share</t>
        </is>
      </c>
      <c r="F320" s="14" t="inlineStr">
        <is>
          <t>조업 시간대 중 야간 비율</t>
        </is>
      </c>
      <c r="G320" s="14" t="inlineStr">
        <is>
          <t>선박 전체 기간에서 직접 계산</t>
        </is>
      </c>
      <c r="H320" s="13" t="inlineStr">
        <is>
          <t>L3 선박</t>
        </is>
      </c>
      <c r="I320" s="13" t="inlineStr">
        <is>
          <t>민성</t>
        </is>
      </c>
      <c r="J320" s="13" t="inlineStr"/>
      <c r="K320" s="13" t="inlineStr"/>
      <c r="L320" s="13" t="inlineStr">
        <is>
          <t>O</t>
        </is>
      </c>
      <c r="M320" s="13" t="inlineStr">
        <is>
          <t>O</t>
        </is>
      </c>
      <c r="N320" s="13" t="inlineStr">
        <is>
          <t>O</t>
        </is>
      </c>
      <c r="O320" s="15" t="n">
        <v>0.4</v>
      </c>
      <c r="P320" s="15" t="n">
        <v>0.4</v>
      </c>
      <c r="Q320" s="13" t="n">
        <v>258</v>
      </c>
      <c r="R320" s="13" t="n">
        <v>25</v>
      </c>
      <c r="S320" s="13" t="inlineStr">
        <is>
          <t>night_ratio_mean</t>
        </is>
      </c>
    </row>
    <row r="321">
      <c r="A321" s="6" t="n">
        <v>320</v>
      </c>
      <c r="B321" s="6" t="inlineStr">
        <is>
          <t>drift_heading_R_q50</t>
        </is>
      </c>
      <c r="C321" s="6" t="inlineStr">
        <is>
          <t>방향·회전(D)</t>
        </is>
      </c>
      <c r="D321" s="6" t="inlineStr">
        <is>
          <t>방향 일관성</t>
        </is>
      </c>
      <c r="E321" s="6" t="inlineStr">
        <is>
          <t>drift_heading_R_q50</t>
        </is>
      </c>
      <c r="F321" s="7" t="inlineStr">
        <is>
          <t>표류 시간대 5-step 방향 일관성 중앙값</t>
        </is>
      </c>
      <c r="G321" s="7" t="inlineStr">
        <is>
          <t>선박 전체 기간에서 직접 계산</t>
        </is>
      </c>
      <c r="H321" s="6" t="inlineStr">
        <is>
          <t>L3 선박</t>
        </is>
      </c>
      <c r="I321" s="6" t="inlineStr">
        <is>
          <t>민성</t>
        </is>
      </c>
      <c r="J321" s="6" t="inlineStr"/>
      <c r="K321" s="6" t="inlineStr">
        <is>
          <t>가설 D(선회)</t>
        </is>
      </c>
      <c r="L321" s="6" t="inlineStr">
        <is>
          <t>O</t>
        </is>
      </c>
      <c r="M321" s="6" t="inlineStr">
        <is>
          <t>O</t>
        </is>
      </c>
      <c r="N321" s="6" t="inlineStr"/>
      <c r="O321" s="12" t="n">
        <v>1</v>
      </c>
      <c r="P321" s="12" t="n">
        <v>0.2</v>
      </c>
      <c r="Q321" s="6" t="n">
        <v>17</v>
      </c>
      <c r="R321" s="6" t="n">
        <v>58</v>
      </c>
      <c r="S321" s="6" t="inlineStr"/>
    </row>
    <row r="322">
      <c r="A322" s="13" t="n">
        <v>321</v>
      </c>
      <c r="B322" s="13" t="inlineStr">
        <is>
          <t>cross_day_revisit</t>
        </is>
      </c>
      <c r="C322" s="13" t="inlineStr">
        <is>
          <t>재방문·어장반복(A)</t>
        </is>
      </c>
      <c r="D322" s="13" t="inlineStr">
        <is>
          <t>날짜 간 어장 반복</t>
        </is>
      </c>
      <c r="E322" s="13" t="inlineStr">
        <is>
          <t>cross_day_revisit</t>
        </is>
      </c>
      <c r="F322" s="14" t="inlineStr">
        <is>
          <t>조업 1km 격자 중 여러 날 다시 찾은 칸 비율</t>
        </is>
      </c>
      <c r="G322" s="14" t="inlineStr">
        <is>
          <t>선박 전체 기간에서 직접 계산</t>
        </is>
      </c>
      <c r="H322" s="13" t="inlineStr">
        <is>
          <t>L3 선박</t>
        </is>
      </c>
      <c r="I322" s="13" t="inlineStr">
        <is>
          <t>민성·가설 A</t>
        </is>
      </c>
      <c r="J322" s="13" t="inlineStr"/>
      <c r="K322" s="13" t="inlineStr">
        <is>
          <t>가설 A(재방문)</t>
        </is>
      </c>
      <c r="L322" s="13" t="inlineStr">
        <is>
          <t>O</t>
        </is>
      </c>
      <c r="M322" s="13" t="inlineStr">
        <is>
          <t>O</t>
        </is>
      </c>
      <c r="N322" s="13" t="inlineStr">
        <is>
          <t>O</t>
        </is>
      </c>
      <c r="O322" s="15" t="n">
        <v>1</v>
      </c>
      <c r="P322" s="15" t="n">
        <v>1</v>
      </c>
      <c r="Q322" s="13" t="n">
        <v>21</v>
      </c>
      <c r="R322" s="13" t="n">
        <v>2</v>
      </c>
      <c r="S322" s="13" t="inlineStr"/>
    </row>
    <row r="323">
      <c r="A323" s="6" t="n">
        <v>322</v>
      </c>
      <c r="B323" s="6" t="inlineStr">
        <is>
          <t>site_jaccard_mean</t>
        </is>
      </c>
      <c r="C323" s="6" t="inlineStr">
        <is>
          <t>재방문·어장반복(A)</t>
        </is>
      </c>
      <c r="D323" s="6" t="inlineStr">
        <is>
          <t>날짜 간 어장 반복</t>
        </is>
      </c>
      <c r="E323" s="6" t="inlineStr">
        <is>
          <t>site_jaccard_mean</t>
        </is>
      </c>
      <c r="F323" s="7" t="inlineStr">
        <is>
          <t>연속 출어일 간 어장(1km 격자) 겹침(Jaccard) 평균</t>
        </is>
      </c>
      <c r="G323" s="7" t="inlineStr">
        <is>
          <t>선박 전체 기간에서 직접 계산</t>
        </is>
      </c>
      <c r="H323" s="6" t="inlineStr">
        <is>
          <t>L3 선박</t>
        </is>
      </c>
      <c r="I323" s="6" t="inlineStr">
        <is>
          <t>가설 A</t>
        </is>
      </c>
      <c r="J323" s="6" t="inlineStr"/>
      <c r="K323" s="6" t="inlineStr">
        <is>
          <t>가설 A(재방문)</t>
        </is>
      </c>
      <c r="L323" s="6" t="inlineStr">
        <is>
          <t>O</t>
        </is>
      </c>
      <c r="M323" s="6" t="inlineStr">
        <is>
          <t>O</t>
        </is>
      </c>
      <c r="N323" s="6" t="inlineStr"/>
      <c r="O323" s="12" t="n">
        <v>1</v>
      </c>
      <c r="P323" s="12" t="n">
        <v>0.2</v>
      </c>
      <c r="Q323" s="6" t="n">
        <v>61</v>
      </c>
      <c r="R323" s="6" t="n">
        <v>72</v>
      </c>
      <c r="S323" s="6" t="inlineStr"/>
    </row>
    <row r="324">
      <c r="A324" s="13" t="n">
        <v>323</v>
      </c>
      <c r="B324" s="13" t="inlineStr">
        <is>
          <t>area_range_km</t>
        </is>
      </c>
      <c r="C324" s="13" t="inlineStr">
        <is>
          <t>이동량·공간범위</t>
        </is>
      </c>
      <c r="D324" s="13" t="inlineStr">
        <is>
          <t>조업 해역 크기(선박)</t>
        </is>
      </c>
      <c r="E324" s="13" t="inlineStr">
        <is>
          <t>area_range_km</t>
        </is>
      </c>
      <c r="F324" s="14" t="inlineStr">
        <is>
          <t>조업 해역 넓이 (일별 중심 5~95% 범위, km)</t>
        </is>
      </c>
      <c r="G324" s="14" t="inlineStr">
        <is>
          <t>선박 전체 기간에서 직접 계산</t>
        </is>
      </c>
      <c r="H324" s="13" t="inlineStr">
        <is>
          <t>L3 선박</t>
        </is>
      </c>
      <c r="I324" s="13" t="inlineStr">
        <is>
          <t>나연</t>
        </is>
      </c>
      <c r="J324" s="13" t="inlineStr"/>
      <c r="K324" s="13" t="inlineStr"/>
      <c r="L324" s="13" t="inlineStr">
        <is>
          <t>O</t>
        </is>
      </c>
      <c r="M324" s="13" t="inlineStr">
        <is>
          <t>O</t>
        </is>
      </c>
      <c r="N324" s="13" t="inlineStr">
        <is>
          <t>O</t>
        </is>
      </c>
      <c r="O324" s="15" t="n">
        <v>1</v>
      </c>
      <c r="P324" s="15" t="n">
        <v>1</v>
      </c>
      <c r="Q324" s="13" t="n">
        <v>12</v>
      </c>
      <c r="R324" s="13" t="n">
        <v>1</v>
      </c>
      <c r="S324" s="13" t="inlineStr"/>
    </row>
    <row r="325">
      <c r="A325" s="6" t="n">
        <v>324</v>
      </c>
      <c r="B325" s="6" t="inlineStr">
        <is>
          <t>fishing_area_radius</t>
        </is>
      </c>
      <c r="C325" s="6" t="inlineStr">
        <is>
          <t>이동량·공간범위</t>
        </is>
      </c>
      <c r="D325" s="6" t="inlineStr">
        <is>
          <t>조업 해역 크기(선박)</t>
        </is>
      </c>
      <c r="E325" s="6" t="inlineStr">
        <is>
          <t>fishing_area_radius</t>
        </is>
      </c>
      <c r="F325" s="7" t="inlineStr">
        <is>
          <t>조업 중심점 퍼짐 반경 중앙값(km)</t>
        </is>
      </c>
      <c r="G325" s="7" t="inlineStr">
        <is>
          <t>선박 전체 기간에서 직접 계산</t>
        </is>
      </c>
      <c r="H325" s="6" t="inlineStr">
        <is>
          <t>L3 선박</t>
        </is>
      </c>
      <c r="I325" s="6" t="inlineStr">
        <is>
          <t>민성</t>
        </is>
      </c>
      <c r="J325" s="6" t="inlineStr"/>
      <c r="K325" s="6" t="inlineStr"/>
      <c r="L325" s="6" t="inlineStr">
        <is>
          <t>O</t>
        </is>
      </c>
      <c r="M325" s="6" t="inlineStr">
        <is>
          <t>O</t>
        </is>
      </c>
      <c r="N325" s="6" t="inlineStr"/>
      <c r="O325" s="12" t="n">
        <v>1</v>
      </c>
      <c r="P325" s="12" t="n">
        <v>0.2</v>
      </c>
      <c r="Q325" s="6" t="n">
        <v>29</v>
      </c>
      <c r="R325" s="6" t="n">
        <v>54</v>
      </c>
      <c r="S325" s="6" t="inlineStr"/>
    </row>
    <row r="326">
      <c r="A326" s="6" t="n">
        <v>325</v>
      </c>
      <c r="B326" s="6" t="inlineStr">
        <is>
          <t>season_m1_share</t>
        </is>
      </c>
      <c r="C326" s="6" t="inlineStr">
        <is>
          <t>계절(H)</t>
        </is>
      </c>
      <c r="D326" s="6" t="inlineStr">
        <is>
          <t>월별 출어</t>
        </is>
      </c>
      <c r="E326" s="6" t="inlineStr">
        <is>
          <t>season_m1_share</t>
        </is>
      </c>
      <c r="F326" s="7" t="inlineStr">
        <is>
          <t>1월 출어일 비중</t>
        </is>
      </c>
      <c r="G326" s="7" t="inlineStr">
        <is>
          <t>선박 전체 기간에서 직접 계산</t>
        </is>
      </c>
      <c r="H326" s="6" t="inlineStr">
        <is>
          <t>L3 선박</t>
        </is>
      </c>
      <c r="I326" s="6" t="inlineStr">
        <is>
          <t>가설 H</t>
        </is>
      </c>
      <c r="J326" s="6" t="inlineStr"/>
      <c r="K326" s="6" t="inlineStr">
        <is>
          <t>가설 H(계절)</t>
        </is>
      </c>
      <c r="L326" s="6" t="inlineStr">
        <is>
          <t>O</t>
        </is>
      </c>
      <c r="M326" s="6" t="inlineStr">
        <is>
          <t>O</t>
        </is>
      </c>
      <c r="N326" s="6" t="inlineStr"/>
      <c r="O326" s="12" t="n">
        <v>1</v>
      </c>
      <c r="P326" s="12" t="n">
        <v>0</v>
      </c>
      <c r="Q326" s="6" t="n">
        <v>6</v>
      </c>
      <c r="R326" s="6" t="n">
        <v>115</v>
      </c>
      <c r="S326" s="6" t="inlineStr"/>
    </row>
    <row r="327">
      <c r="A327" s="6" t="n">
        <v>326</v>
      </c>
      <c r="B327" s="6" t="inlineStr">
        <is>
          <t>season_m2_share</t>
        </is>
      </c>
      <c r="C327" s="6" t="inlineStr">
        <is>
          <t>계절(H)</t>
        </is>
      </c>
      <c r="D327" s="6" t="inlineStr">
        <is>
          <t>월별 출어</t>
        </is>
      </c>
      <c r="E327" s="6" t="inlineStr">
        <is>
          <t>season_m2_share</t>
        </is>
      </c>
      <c r="F327" s="7" t="inlineStr">
        <is>
          <t>2월 출어일 비중</t>
        </is>
      </c>
      <c r="G327" s="7" t="inlineStr">
        <is>
          <t>선박 전체 기간에서 직접 계산</t>
        </is>
      </c>
      <c r="H327" s="6" t="inlineStr">
        <is>
          <t>L3 선박</t>
        </is>
      </c>
      <c r="I327" s="6" t="inlineStr">
        <is>
          <t>가설 H</t>
        </is>
      </c>
      <c r="J327" s="6" t="inlineStr"/>
      <c r="K327" s="6" t="inlineStr">
        <is>
          <t>가설 H(계절)</t>
        </is>
      </c>
      <c r="L327" s="6" t="inlineStr">
        <is>
          <t>O</t>
        </is>
      </c>
      <c r="M327" s="6" t="inlineStr">
        <is>
          <t>O</t>
        </is>
      </c>
      <c r="N327" s="6" t="inlineStr"/>
      <c r="O327" s="12" t="n">
        <v>1</v>
      </c>
      <c r="P327" s="12" t="n">
        <v>0.2</v>
      </c>
      <c r="Q327" s="6" t="n">
        <v>41</v>
      </c>
      <c r="R327" s="6" t="n">
        <v>44</v>
      </c>
      <c r="S327" s="6" t="inlineStr"/>
    </row>
    <row r="328">
      <c r="A328" s="13" t="n">
        <v>327</v>
      </c>
      <c r="B328" s="13" t="inlineStr">
        <is>
          <t>season_m3_share</t>
        </is>
      </c>
      <c r="C328" s="13" t="inlineStr">
        <is>
          <t>계절(H)</t>
        </is>
      </c>
      <c r="D328" s="13" t="inlineStr">
        <is>
          <t>월별 출어</t>
        </is>
      </c>
      <c r="E328" s="13" t="inlineStr">
        <is>
          <t>season_m3_share</t>
        </is>
      </c>
      <c r="F328" s="14" t="inlineStr">
        <is>
          <t>3월 출어일 비중</t>
        </is>
      </c>
      <c r="G328" s="14" t="inlineStr">
        <is>
          <t>선박 전체 기간에서 직접 계산</t>
        </is>
      </c>
      <c r="H328" s="13" t="inlineStr">
        <is>
          <t>L3 선박</t>
        </is>
      </c>
      <c r="I328" s="13" t="inlineStr">
        <is>
          <t>가설 H</t>
        </is>
      </c>
      <c r="J328" s="13" t="inlineStr"/>
      <c r="K328" s="13" t="inlineStr">
        <is>
          <t>가설 H(계절)</t>
        </is>
      </c>
      <c r="L328" s="13" t="inlineStr">
        <is>
          <t>O</t>
        </is>
      </c>
      <c r="M328" s="13" t="inlineStr">
        <is>
          <t>O</t>
        </is>
      </c>
      <c r="N328" s="13" t="inlineStr">
        <is>
          <t>O</t>
        </is>
      </c>
      <c r="O328" s="15" t="n">
        <v>1</v>
      </c>
      <c r="P328" s="15" t="n">
        <v>0.4</v>
      </c>
      <c r="Q328" s="13" t="n">
        <v>27</v>
      </c>
      <c r="R328" s="13" t="n">
        <v>26</v>
      </c>
      <c r="S328" s="13" t="inlineStr"/>
    </row>
    <row r="329">
      <c r="A329" s="6" t="n">
        <v>328</v>
      </c>
      <c r="B329" s="6" t="inlineStr">
        <is>
          <t>season_m4_share</t>
        </is>
      </c>
      <c r="C329" s="6" t="inlineStr">
        <is>
          <t>계절(H)</t>
        </is>
      </c>
      <c r="D329" s="6" t="inlineStr">
        <is>
          <t>월별 출어</t>
        </is>
      </c>
      <c r="E329" s="6" t="inlineStr">
        <is>
          <t>season_m4_share</t>
        </is>
      </c>
      <c r="F329" s="7" t="inlineStr">
        <is>
          <t>4월 출어일 비중</t>
        </is>
      </c>
      <c r="G329" s="7" t="inlineStr">
        <is>
          <t>선박 전체 기간에서 직접 계산</t>
        </is>
      </c>
      <c r="H329" s="6" t="inlineStr">
        <is>
          <t>L3 선박</t>
        </is>
      </c>
      <c r="I329" s="6" t="inlineStr">
        <is>
          <t>가설 H</t>
        </is>
      </c>
      <c r="J329" s="6" t="inlineStr"/>
      <c r="K329" s="6" t="inlineStr">
        <is>
          <t>가설 H(계절)</t>
        </is>
      </c>
      <c r="L329" s="6" t="inlineStr">
        <is>
          <t>O</t>
        </is>
      </c>
      <c r="M329" s="6" t="inlineStr">
        <is>
          <t>O</t>
        </is>
      </c>
      <c r="N329" s="6" t="inlineStr"/>
      <c r="O329" s="12" t="n">
        <v>1</v>
      </c>
      <c r="P329" s="12" t="n">
        <v>0</v>
      </c>
      <c r="Q329" s="6" t="n">
        <v>64</v>
      </c>
      <c r="R329" s="6" t="n">
        <v>88</v>
      </c>
      <c r="S329" s="6" t="inlineStr"/>
    </row>
    <row r="330">
      <c r="A330" s="6" t="n">
        <v>329</v>
      </c>
      <c r="B330" s="6" t="inlineStr">
        <is>
          <t>season_m5_share</t>
        </is>
      </c>
      <c r="C330" s="6" t="inlineStr">
        <is>
          <t>계절(H)</t>
        </is>
      </c>
      <c r="D330" s="6" t="inlineStr">
        <is>
          <t>월별 출어</t>
        </is>
      </c>
      <c r="E330" s="6" t="inlineStr">
        <is>
          <t>season_m5_share</t>
        </is>
      </c>
      <c r="F330" s="7" t="inlineStr">
        <is>
          <t>5월 출어일 비중</t>
        </is>
      </c>
      <c r="G330" s="7" t="inlineStr">
        <is>
          <t>선박 전체 기간에서 직접 계산</t>
        </is>
      </c>
      <c r="H330" s="6" t="inlineStr">
        <is>
          <t>L3 선박</t>
        </is>
      </c>
      <c r="I330" s="6" t="inlineStr">
        <is>
          <t>가설 H</t>
        </is>
      </c>
      <c r="J330" s="6" t="inlineStr"/>
      <c r="K330" s="6" t="inlineStr">
        <is>
          <t>가설 H(계절)</t>
        </is>
      </c>
      <c r="L330" s="6" t="inlineStr">
        <is>
          <t>O</t>
        </is>
      </c>
      <c r="M330" s="6" t="inlineStr">
        <is>
          <t>O</t>
        </is>
      </c>
      <c r="N330" s="6" t="inlineStr"/>
      <c r="O330" s="12" t="n">
        <v>1</v>
      </c>
      <c r="P330" s="12" t="n">
        <v>0.2</v>
      </c>
      <c r="Q330" s="6" t="n">
        <v>5</v>
      </c>
      <c r="R330" s="6" t="n">
        <v>53</v>
      </c>
      <c r="S330" s="6" t="inlineStr"/>
    </row>
    <row r="331">
      <c r="A331" s="6" t="n">
        <v>330</v>
      </c>
      <c r="B331" s="6" t="inlineStr">
        <is>
          <t>season_m6_share</t>
        </is>
      </c>
      <c r="C331" s="6" t="inlineStr">
        <is>
          <t>계절(H)</t>
        </is>
      </c>
      <c r="D331" s="6" t="inlineStr">
        <is>
          <t>월별 출어</t>
        </is>
      </c>
      <c r="E331" s="6" t="inlineStr">
        <is>
          <t>season_m6_share</t>
        </is>
      </c>
      <c r="F331" s="7" t="inlineStr">
        <is>
          <t>6월 출어일 비중</t>
        </is>
      </c>
      <c r="G331" s="7" t="inlineStr">
        <is>
          <t>선박 전체 기간에서 직접 계산</t>
        </is>
      </c>
      <c r="H331" s="6" t="inlineStr">
        <is>
          <t>L3 선박</t>
        </is>
      </c>
      <c r="I331" s="6" t="inlineStr">
        <is>
          <t>가설 H</t>
        </is>
      </c>
      <c r="J331" s="6" t="inlineStr"/>
      <c r="K331" s="6" t="inlineStr">
        <is>
          <t>가설 H(계절)</t>
        </is>
      </c>
      <c r="L331" s="6" t="inlineStr">
        <is>
          <t>O</t>
        </is>
      </c>
      <c r="M331" s="6" t="inlineStr">
        <is>
          <t>O</t>
        </is>
      </c>
      <c r="N331" s="6" t="inlineStr"/>
      <c r="O331" s="12" t="n">
        <v>1</v>
      </c>
      <c r="P331" s="12" t="n">
        <v>0.2</v>
      </c>
      <c r="Q331" s="6" t="n">
        <v>47</v>
      </c>
      <c r="R331" s="6" t="n">
        <v>61</v>
      </c>
      <c r="S331" s="6" t="inlineStr"/>
    </row>
    <row r="332">
      <c r="A332" s="6" t="n">
        <v>331</v>
      </c>
      <c r="B332" s="6" t="inlineStr">
        <is>
          <t>daytype_0_share</t>
        </is>
      </c>
      <c r="C332" s="6" t="inlineStr">
        <is>
          <t>일 유형·이질성(G)</t>
        </is>
      </c>
      <c r="D332" s="6" t="inlineStr">
        <is>
          <t>출어일 유형</t>
        </is>
      </c>
      <c r="E332" s="6" t="inlineStr">
        <is>
          <t>daytype_0_share</t>
        </is>
      </c>
      <c r="F332" s="7" t="inlineStr">
        <is>
          <t>출어일 유형 0번 비중 (하루 피처 KMeans 8군집, 라벨 미사용)</t>
        </is>
      </c>
      <c r="G332" s="7" t="inlineStr">
        <is>
          <t>선박 전체 기간에서 직접 계산</t>
        </is>
      </c>
      <c r="H332" s="6" t="inlineStr">
        <is>
          <t>L3 선박</t>
        </is>
      </c>
      <c r="I332" s="6" t="inlineStr">
        <is>
          <t>가설 G</t>
        </is>
      </c>
      <c r="J332" s="6" t="inlineStr"/>
      <c r="K332" s="6" t="inlineStr">
        <is>
          <t>가설 G(이질성)</t>
        </is>
      </c>
      <c r="L332" s="6" t="inlineStr">
        <is>
          <t>O</t>
        </is>
      </c>
      <c r="M332" s="6" t="inlineStr">
        <is>
          <t>O</t>
        </is>
      </c>
      <c r="N332" s="6" t="inlineStr"/>
      <c r="O332" s="12" t="n">
        <v>1</v>
      </c>
      <c r="P332" s="12" t="n">
        <v>0</v>
      </c>
      <c r="Q332" s="6" t="n">
        <v>171</v>
      </c>
      <c r="R332" s="6" t="n">
        <v>226</v>
      </c>
      <c r="S332" s="6" t="inlineStr"/>
    </row>
    <row r="333">
      <c r="A333" s="6" t="n">
        <v>332</v>
      </c>
      <c r="B333" s="6" t="inlineStr">
        <is>
          <t>daytype_1_share</t>
        </is>
      </c>
      <c r="C333" s="6" t="inlineStr">
        <is>
          <t>일 유형·이질성(G)</t>
        </is>
      </c>
      <c r="D333" s="6" t="inlineStr">
        <is>
          <t>출어일 유형</t>
        </is>
      </c>
      <c r="E333" s="6" t="inlineStr">
        <is>
          <t>daytype_1_share</t>
        </is>
      </c>
      <c r="F333" s="7" t="inlineStr">
        <is>
          <t>출어일 유형 1번 비중 (하루 피처 KMeans 8군집, 라벨 미사용)</t>
        </is>
      </c>
      <c r="G333" s="7" t="inlineStr">
        <is>
          <t>선박 전체 기간에서 직접 계산</t>
        </is>
      </c>
      <c r="H333" s="6" t="inlineStr">
        <is>
          <t>L3 선박</t>
        </is>
      </c>
      <c r="I333" s="6" t="inlineStr">
        <is>
          <t>가설 G</t>
        </is>
      </c>
      <c r="J333" s="6" t="inlineStr"/>
      <c r="K333" s="6" t="inlineStr">
        <is>
          <t>가설 G(이질성)</t>
        </is>
      </c>
      <c r="L333" s="6" t="inlineStr">
        <is>
          <t>O</t>
        </is>
      </c>
      <c r="M333" s="6" t="inlineStr">
        <is>
          <t>O</t>
        </is>
      </c>
      <c r="N333" s="6" t="inlineStr"/>
      <c r="O333" s="12" t="n">
        <v>1</v>
      </c>
      <c r="P333" s="12" t="n">
        <v>0</v>
      </c>
      <c r="Q333" s="6" t="n">
        <v>172</v>
      </c>
      <c r="R333" s="6" t="n">
        <v>252</v>
      </c>
      <c r="S333" s="6" t="inlineStr"/>
    </row>
    <row r="334">
      <c r="A334" s="13" t="n">
        <v>333</v>
      </c>
      <c r="B334" s="13" t="inlineStr">
        <is>
          <t>daytype_2_share</t>
        </is>
      </c>
      <c r="C334" s="13" t="inlineStr">
        <is>
          <t>일 유형·이질성(G)</t>
        </is>
      </c>
      <c r="D334" s="13" t="inlineStr">
        <is>
          <t>출어일 유형</t>
        </is>
      </c>
      <c r="E334" s="13" t="inlineStr">
        <is>
          <t>daytype_2_share</t>
        </is>
      </c>
      <c r="F334" s="14" t="inlineStr">
        <is>
          <t>출어일 유형 2번 비중 (하루 피처 KMeans 8군집, 라벨 미사용)</t>
        </is>
      </c>
      <c r="G334" s="14" t="inlineStr">
        <is>
          <t>선박 전체 기간에서 직접 계산</t>
        </is>
      </c>
      <c r="H334" s="13" t="inlineStr">
        <is>
          <t>L3 선박</t>
        </is>
      </c>
      <c r="I334" s="13" t="inlineStr">
        <is>
          <t>가설 G</t>
        </is>
      </c>
      <c r="J334" s="13" t="inlineStr"/>
      <c r="K334" s="13" t="inlineStr">
        <is>
          <t>가설 G(이질성)</t>
        </is>
      </c>
      <c r="L334" s="13" t="inlineStr">
        <is>
          <t>O</t>
        </is>
      </c>
      <c r="M334" s="13" t="inlineStr">
        <is>
          <t>O</t>
        </is>
      </c>
      <c r="N334" s="13" t="inlineStr">
        <is>
          <t>O</t>
        </is>
      </c>
      <c r="O334" s="15" t="n">
        <v>1</v>
      </c>
      <c r="P334" s="15" t="n">
        <v>0.8</v>
      </c>
      <c r="Q334" s="13" t="n">
        <v>58</v>
      </c>
      <c r="R334" s="13" t="n">
        <v>6</v>
      </c>
      <c r="S334" s="13" t="inlineStr"/>
    </row>
    <row r="335">
      <c r="A335" s="6" t="n">
        <v>334</v>
      </c>
      <c r="B335" s="6" t="inlineStr">
        <is>
          <t>daytype_3_share</t>
        </is>
      </c>
      <c r="C335" s="6" t="inlineStr">
        <is>
          <t>일 유형·이질성(G)</t>
        </is>
      </c>
      <c r="D335" s="6" t="inlineStr">
        <is>
          <t>출어일 유형</t>
        </is>
      </c>
      <c r="E335" s="6" t="inlineStr">
        <is>
          <t>daytype_3_share</t>
        </is>
      </c>
      <c r="F335" s="7" t="inlineStr">
        <is>
          <t>출어일 유형 3번 비중 (하루 피처 KMeans 8군집, 라벨 미사용)</t>
        </is>
      </c>
      <c r="G335" s="7" t="inlineStr">
        <is>
          <t>선박 전체 기간에서 직접 계산</t>
        </is>
      </c>
      <c r="H335" s="6" t="inlineStr">
        <is>
          <t>L3 선박</t>
        </is>
      </c>
      <c r="I335" s="6" t="inlineStr">
        <is>
          <t>가설 G</t>
        </is>
      </c>
      <c r="J335" s="6" t="inlineStr"/>
      <c r="K335" s="6" t="inlineStr">
        <is>
          <t>가설 G(이질성)</t>
        </is>
      </c>
      <c r="L335" s="6" t="inlineStr">
        <is>
          <t>O</t>
        </is>
      </c>
      <c r="M335" s="6" t="inlineStr">
        <is>
          <t>O</t>
        </is>
      </c>
      <c r="N335" s="6" t="inlineStr"/>
      <c r="O335" s="12" t="n">
        <v>1</v>
      </c>
      <c r="P335" s="12" t="n">
        <v>0</v>
      </c>
      <c r="Q335" s="6" t="n">
        <v>187</v>
      </c>
      <c r="R335" s="6" t="n">
        <v>329</v>
      </c>
      <c r="S335" s="6" t="inlineStr"/>
    </row>
    <row r="336">
      <c r="A336" s="6" t="n">
        <v>335</v>
      </c>
      <c r="B336" s="6" t="inlineStr">
        <is>
          <t>daytype_4_share</t>
        </is>
      </c>
      <c r="C336" s="6" t="inlineStr">
        <is>
          <t>일 유형·이질성(G)</t>
        </is>
      </c>
      <c r="D336" s="6" t="inlineStr">
        <is>
          <t>출어일 유형</t>
        </is>
      </c>
      <c r="E336" s="6" t="inlineStr">
        <is>
          <t>daytype_4_share</t>
        </is>
      </c>
      <c r="F336" s="7" t="inlineStr">
        <is>
          <t>출어일 유형 4번 비중 (하루 피처 KMeans 8군집, 라벨 미사용)</t>
        </is>
      </c>
      <c r="G336" s="7" t="inlineStr">
        <is>
          <t>선박 전체 기간에서 직접 계산</t>
        </is>
      </c>
      <c r="H336" s="6" t="inlineStr">
        <is>
          <t>L3 선박</t>
        </is>
      </c>
      <c r="I336" s="6" t="inlineStr">
        <is>
          <t>가설 G</t>
        </is>
      </c>
      <c r="J336" s="6" t="inlineStr"/>
      <c r="K336" s="6" t="inlineStr">
        <is>
          <t>가설 G(이질성)</t>
        </is>
      </c>
      <c r="L336" s="6" t="inlineStr">
        <is>
          <t>O</t>
        </is>
      </c>
      <c r="M336" s="6" t="inlineStr">
        <is>
          <t>O</t>
        </is>
      </c>
      <c r="N336" s="6" t="inlineStr"/>
      <c r="O336" s="12" t="n">
        <v>1</v>
      </c>
      <c r="P336" s="12" t="n">
        <v>0</v>
      </c>
      <c r="Q336" s="6" t="n">
        <v>157</v>
      </c>
      <c r="R336" s="6" t="n">
        <v>281</v>
      </c>
      <c r="S336" s="6" t="inlineStr"/>
    </row>
    <row r="337">
      <c r="A337" s="6" t="n">
        <v>336</v>
      </c>
      <c r="B337" s="6" t="inlineStr">
        <is>
          <t>daytype_5_share</t>
        </is>
      </c>
      <c r="C337" s="6" t="inlineStr">
        <is>
          <t>일 유형·이질성(G)</t>
        </is>
      </c>
      <c r="D337" s="6" t="inlineStr">
        <is>
          <t>출어일 유형</t>
        </is>
      </c>
      <c r="E337" s="6" t="inlineStr">
        <is>
          <t>daytype_5_share</t>
        </is>
      </c>
      <c r="F337" s="7" t="inlineStr">
        <is>
          <t>출어일 유형 5번 비중 (하루 피처 KMeans 8군집, 라벨 미사용)</t>
        </is>
      </c>
      <c r="G337" s="7" t="inlineStr">
        <is>
          <t>선박 전체 기간에서 직접 계산</t>
        </is>
      </c>
      <c r="H337" s="6" t="inlineStr">
        <is>
          <t>L3 선박</t>
        </is>
      </c>
      <c r="I337" s="6" t="inlineStr">
        <is>
          <t>가설 G</t>
        </is>
      </c>
      <c r="J337" s="6" t="inlineStr"/>
      <c r="K337" s="6" t="inlineStr">
        <is>
          <t>가설 G(이질성)</t>
        </is>
      </c>
      <c r="L337" s="6" t="inlineStr">
        <is>
          <t>O</t>
        </is>
      </c>
      <c r="M337" s="6" t="inlineStr">
        <is>
          <t>O</t>
        </is>
      </c>
      <c r="N337" s="6" t="inlineStr"/>
      <c r="O337" s="12" t="n">
        <v>1</v>
      </c>
      <c r="P337" s="12" t="n">
        <v>0</v>
      </c>
      <c r="Q337" s="6" t="n">
        <v>192</v>
      </c>
      <c r="R337" s="6" t="n">
        <v>334</v>
      </c>
      <c r="S337" s="6" t="inlineStr"/>
    </row>
    <row r="338">
      <c r="A338" s="6" t="n">
        <v>337</v>
      </c>
      <c r="B338" s="6" t="inlineStr">
        <is>
          <t>daytype_6_share</t>
        </is>
      </c>
      <c r="C338" s="6" t="inlineStr">
        <is>
          <t>일 유형·이질성(G)</t>
        </is>
      </c>
      <c r="D338" s="6" t="inlineStr">
        <is>
          <t>출어일 유형</t>
        </is>
      </c>
      <c r="E338" s="6" t="inlineStr">
        <is>
          <t>daytype_6_share</t>
        </is>
      </c>
      <c r="F338" s="7" t="inlineStr">
        <is>
          <t>출어일 유형 6번 비중 (하루 피처 KMeans 8군집, 라벨 미사용)</t>
        </is>
      </c>
      <c r="G338" s="7" t="inlineStr">
        <is>
          <t>선박 전체 기간에서 직접 계산</t>
        </is>
      </c>
      <c r="H338" s="6" t="inlineStr">
        <is>
          <t>L3 선박</t>
        </is>
      </c>
      <c r="I338" s="6" t="inlineStr">
        <is>
          <t>가설 G</t>
        </is>
      </c>
      <c r="J338" s="6" t="inlineStr"/>
      <c r="K338" s="6" t="inlineStr">
        <is>
          <t>가설 G(이질성)</t>
        </is>
      </c>
      <c r="L338" s="6" t="inlineStr">
        <is>
          <t>O</t>
        </is>
      </c>
      <c r="M338" s="6" t="inlineStr">
        <is>
          <t>O</t>
        </is>
      </c>
      <c r="N338" s="6" t="inlineStr"/>
      <c r="O338" s="12" t="n">
        <v>1</v>
      </c>
      <c r="P338" s="12" t="n">
        <v>0</v>
      </c>
      <c r="Q338" s="6" t="n">
        <v>62</v>
      </c>
      <c r="R338" s="6" t="n">
        <v>144</v>
      </c>
      <c r="S338" s="6" t="inlineStr"/>
    </row>
    <row r="339">
      <c r="A339" s="6" t="n">
        <v>338</v>
      </c>
      <c r="B339" s="6" t="inlineStr">
        <is>
          <t>daytype_7_share</t>
        </is>
      </c>
      <c r="C339" s="6" t="inlineStr">
        <is>
          <t>일 유형·이질성(G)</t>
        </is>
      </c>
      <c r="D339" s="6" t="inlineStr">
        <is>
          <t>출어일 유형</t>
        </is>
      </c>
      <c r="E339" s="6" t="inlineStr">
        <is>
          <t>daytype_7_share</t>
        </is>
      </c>
      <c r="F339" s="7" t="inlineStr">
        <is>
          <t>출어일 유형 7번 비중 (하루 피처 KMeans 8군집, 라벨 미사용)</t>
        </is>
      </c>
      <c r="G339" s="7" t="inlineStr">
        <is>
          <t>선박 전체 기간에서 직접 계산</t>
        </is>
      </c>
      <c r="H339" s="6" t="inlineStr">
        <is>
          <t>L3 선박</t>
        </is>
      </c>
      <c r="I339" s="6" t="inlineStr">
        <is>
          <t>가설 G</t>
        </is>
      </c>
      <c r="J339" s="6" t="inlineStr"/>
      <c r="K339" s="6" t="inlineStr">
        <is>
          <t>가설 G(이질성)</t>
        </is>
      </c>
      <c r="L339" s="6" t="inlineStr">
        <is>
          <t>O</t>
        </is>
      </c>
      <c r="M339" s="6" t="inlineStr">
        <is>
          <t>O</t>
        </is>
      </c>
      <c r="N339" s="6" t="inlineStr"/>
      <c r="O339" s="12" t="n">
        <v>1</v>
      </c>
      <c r="P339" s="12" t="n">
        <v>0</v>
      </c>
      <c r="Q339" s="6" t="n">
        <v>178</v>
      </c>
      <c r="R339" s="6" t="n">
        <v>198</v>
      </c>
      <c r="S339" s="6" t="inlineStr"/>
    </row>
    <row r="340">
      <c r="A340" s="6" t="n">
        <v>339</v>
      </c>
      <c r="B340" s="6" t="inlineStr">
        <is>
          <t>day_type_entropy</t>
        </is>
      </c>
      <c r="C340" s="6" t="inlineStr">
        <is>
          <t>일 유형·이질성(G)</t>
        </is>
      </c>
      <c r="D340" s="6" t="inlineStr">
        <is>
          <t>출어일 유형</t>
        </is>
      </c>
      <c r="E340" s="6" t="inlineStr">
        <is>
          <t>day_type_entropy</t>
        </is>
      </c>
      <c r="F340" s="7" t="inlineStr">
        <is>
          <t>출어일 유형 분포 엔트로피 (날마다 다른 조업일수록 큼)</t>
        </is>
      </c>
      <c r="G340" s="7" t="inlineStr">
        <is>
          <t>선박 전체 기간에서 직접 계산</t>
        </is>
      </c>
      <c r="H340" s="6" t="inlineStr">
        <is>
          <t>L3 선박</t>
        </is>
      </c>
      <c r="I340" s="6" t="inlineStr">
        <is>
          <t>가설 G</t>
        </is>
      </c>
      <c r="J340" s="6" t="inlineStr"/>
      <c r="K340" s="6" t="inlineStr">
        <is>
          <t>가설 G(이질성)</t>
        </is>
      </c>
      <c r="L340" s="6" t="inlineStr">
        <is>
          <t>O</t>
        </is>
      </c>
      <c r="M340" s="6" t="inlineStr">
        <is>
          <t>O</t>
        </is>
      </c>
      <c r="N340" s="6" t="inlineStr"/>
      <c r="O340" s="12" t="n">
        <v>1</v>
      </c>
      <c r="P340" s="12" t="n">
        <v>0</v>
      </c>
      <c r="Q340" s="6" t="n">
        <v>155</v>
      </c>
      <c r="R340" s="6" t="n">
        <v>186</v>
      </c>
      <c r="S340" s="6" t="inlineStr"/>
    </row>
    <row r="341">
      <c r="A341" s="13" t="n">
        <v>340</v>
      </c>
      <c r="B341" s="13" t="inlineStr">
        <is>
          <t>lon_c</t>
        </is>
      </c>
      <c r="C341" s="13" t="inlineStr">
        <is>
          <t>위치(LOC)</t>
        </is>
      </c>
      <c r="D341" s="13" t="inlineStr">
        <is>
          <t>좌표</t>
        </is>
      </c>
      <c r="E341" s="13" t="inlineStr">
        <is>
          <t>lon_c</t>
        </is>
      </c>
      <c r="F341" s="14" t="inlineStr">
        <is>
          <t>선박 대표 경도 (전체 시간 중앙값)</t>
        </is>
      </c>
      <c r="G341" s="14" t="inlineStr">
        <is>
          <t>선박 전체 기간에서 직접 계산</t>
        </is>
      </c>
      <c r="H341" s="13" t="inlineStr">
        <is>
          <t>L3 선박</t>
        </is>
      </c>
      <c r="I341" s="13" t="inlineStr">
        <is>
          <t>공통</t>
        </is>
      </c>
      <c r="J341" s="13" t="inlineStr">
        <is>
          <t>O</t>
        </is>
      </c>
      <c r="K341" s="13" t="inlineStr"/>
      <c r="L341" s="13" t="inlineStr"/>
      <c r="M341" s="13" t="inlineStr">
        <is>
          <t>O</t>
        </is>
      </c>
      <c r="N341" s="13" t="inlineStr">
        <is>
          <t>O</t>
        </is>
      </c>
      <c r="O341" s="15" t="n"/>
      <c r="P341" s="15" t="n">
        <v>0.6</v>
      </c>
      <c r="Q341" s="13" t="n"/>
      <c r="R341" s="13" t="n">
        <v>12</v>
      </c>
      <c r="S341" s="13" t="inlineStr">
        <is>
          <t>home_lon</t>
        </is>
      </c>
    </row>
    <row r="342">
      <c r="A342" s="13" t="n">
        <v>341</v>
      </c>
      <c r="B342" s="13" t="inlineStr">
        <is>
          <t>lat_c</t>
        </is>
      </c>
      <c r="C342" s="13" t="inlineStr">
        <is>
          <t>위치(LOC)</t>
        </is>
      </c>
      <c r="D342" s="13" t="inlineStr">
        <is>
          <t>좌표</t>
        </is>
      </c>
      <c r="E342" s="13" t="inlineStr">
        <is>
          <t>lat_c</t>
        </is>
      </c>
      <c r="F342" s="14" t="inlineStr">
        <is>
          <t>선박 대표 위도 (전체 시간 중앙값)</t>
        </is>
      </c>
      <c r="G342" s="14" t="inlineStr">
        <is>
          <t>선박 전체 기간에서 직접 계산</t>
        </is>
      </c>
      <c r="H342" s="13" t="inlineStr">
        <is>
          <t>L3 선박</t>
        </is>
      </c>
      <c r="I342" s="13" t="inlineStr">
        <is>
          <t>공통</t>
        </is>
      </c>
      <c r="J342" s="13" t="inlineStr">
        <is>
          <t>O</t>
        </is>
      </c>
      <c r="K342" s="13" t="inlineStr"/>
      <c r="L342" s="13" t="inlineStr"/>
      <c r="M342" s="13" t="inlineStr">
        <is>
          <t>O</t>
        </is>
      </c>
      <c r="N342" s="13" t="inlineStr">
        <is>
          <t>O</t>
        </is>
      </c>
      <c r="O342" s="15" t="n"/>
      <c r="P342" s="15" t="n">
        <v>0.8</v>
      </c>
      <c r="Q342" s="13" t="n"/>
      <c r="R342" s="13" t="n">
        <v>4</v>
      </c>
      <c r="S342" s="13" t="inlineStr">
        <is>
          <t>fishing_lat</t>
        </is>
      </c>
    </row>
    <row r="343">
      <c r="A343" s="13" t="n">
        <v>342</v>
      </c>
      <c r="B343" s="13" t="inlineStr">
        <is>
          <t>home_lon</t>
        </is>
      </c>
      <c r="C343" s="13" t="inlineStr">
        <is>
          <t>위치(LOC)</t>
        </is>
      </c>
      <c r="D343" s="13" t="inlineStr">
        <is>
          <t>좌표</t>
        </is>
      </c>
      <c r="E343" s="13" t="inlineStr">
        <is>
          <t>home_lon</t>
        </is>
      </c>
      <c r="F343" s="14" t="inlineStr">
        <is>
          <t>모항 경도</t>
        </is>
      </c>
      <c r="G343" s="14" t="inlineStr">
        <is>
          <t>선박 전체 기간에서 직접 계산</t>
        </is>
      </c>
      <c r="H343" s="13" t="inlineStr">
        <is>
          <t>L3 선박</t>
        </is>
      </c>
      <c r="I343" s="13" t="inlineStr">
        <is>
          <t>민성</t>
        </is>
      </c>
      <c r="J343" s="13" t="inlineStr">
        <is>
          <t>O</t>
        </is>
      </c>
      <c r="K343" s="13" t="inlineStr"/>
      <c r="L343" s="13" t="inlineStr"/>
      <c r="M343" s="13" t="inlineStr">
        <is>
          <t>O</t>
        </is>
      </c>
      <c r="N343" s="13" t="inlineStr">
        <is>
          <t>O</t>
        </is>
      </c>
      <c r="O343" s="15" t="n"/>
      <c r="P343" s="15" t="n">
        <v>0.4</v>
      </c>
      <c r="Q343" s="13" t="n"/>
      <c r="R343" s="13" t="n">
        <v>22</v>
      </c>
      <c r="S343" s="13" t="inlineStr">
        <is>
          <t>lon_c</t>
        </is>
      </c>
    </row>
    <row r="344">
      <c r="A344" s="6" t="n">
        <v>343</v>
      </c>
      <c r="B344" s="6" t="inlineStr">
        <is>
          <t>home_lat</t>
        </is>
      </c>
      <c r="C344" s="6" t="inlineStr">
        <is>
          <t>위치(LOC)</t>
        </is>
      </c>
      <c r="D344" s="6" t="inlineStr">
        <is>
          <t>좌표</t>
        </is>
      </c>
      <c r="E344" s="6" t="inlineStr">
        <is>
          <t>home_lat</t>
        </is>
      </c>
      <c r="F344" s="7" t="inlineStr">
        <is>
          <t>모항 위도</t>
        </is>
      </c>
      <c r="G344" s="7" t="inlineStr">
        <is>
          <t>선박 전체 기간에서 직접 계산</t>
        </is>
      </c>
      <c r="H344" s="6" t="inlineStr">
        <is>
          <t>L3 선박</t>
        </is>
      </c>
      <c r="I344" s="6" t="inlineStr">
        <is>
          <t>민성</t>
        </is>
      </c>
      <c r="J344" s="6" t="inlineStr">
        <is>
          <t>O</t>
        </is>
      </c>
      <c r="K344" s="6" t="inlineStr"/>
      <c r="L344" s="6" t="inlineStr"/>
      <c r="M344" s="6" t="inlineStr">
        <is>
          <t>O</t>
        </is>
      </c>
      <c r="N344" s="6" t="inlineStr"/>
      <c r="O344" s="12" t="n"/>
      <c r="P344" s="12" t="n">
        <v>0</v>
      </c>
      <c r="Q344" s="6" t="n"/>
      <c r="R344" s="6" t="n">
        <v>80</v>
      </c>
      <c r="S344" s="6" t="inlineStr">
        <is>
          <t>lat_c</t>
        </is>
      </c>
    </row>
    <row r="345">
      <c r="A345" s="6" t="n">
        <v>344</v>
      </c>
      <c r="B345" s="6" t="inlineStr">
        <is>
          <t>fishing_lon</t>
        </is>
      </c>
      <c r="C345" s="6" t="inlineStr">
        <is>
          <t>위치(LOC)</t>
        </is>
      </c>
      <c r="D345" s="6" t="inlineStr">
        <is>
          <t>좌표</t>
        </is>
      </c>
      <c r="E345" s="6" t="inlineStr">
        <is>
          <t>fishing_lon</t>
        </is>
      </c>
      <c r="F345" s="7" t="inlineStr">
        <is>
          <t>조업 중심 경도 (중앙값)</t>
        </is>
      </c>
      <c r="G345" s="7" t="inlineStr">
        <is>
          <t>선박 전체 기간에서 직접 계산</t>
        </is>
      </c>
      <c r="H345" s="6" t="inlineStr">
        <is>
          <t>L3 선박</t>
        </is>
      </c>
      <c r="I345" s="6" t="inlineStr">
        <is>
          <t>민성</t>
        </is>
      </c>
      <c r="J345" s="6" t="inlineStr">
        <is>
          <t>O</t>
        </is>
      </c>
      <c r="K345" s="6" t="inlineStr"/>
      <c r="L345" s="6" t="inlineStr"/>
      <c r="M345" s="6" t="inlineStr">
        <is>
          <t>O</t>
        </is>
      </c>
      <c r="N345" s="6" t="inlineStr"/>
      <c r="O345" s="12" t="n"/>
      <c r="P345" s="12" t="n">
        <v>0</v>
      </c>
      <c r="Q345" s="6" t="n"/>
      <c r="R345" s="6" t="n">
        <v>79</v>
      </c>
      <c r="S345" s="6" t="inlineStr">
        <is>
          <t>lon_c</t>
        </is>
      </c>
    </row>
    <row r="346">
      <c r="A346" s="6" t="n">
        <v>345</v>
      </c>
      <c r="B346" s="6" t="inlineStr">
        <is>
          <t>fishing_lat</t>
        </is>
      </c>
      <c r="C346" s="6" t="inlineStr">
        <is>
          <t>위치(LOC)</t>
        </is>
      </c>
      <c r="D346" s="6" t="inlineStr">
        <is>
          <t>좌표</t>
        </is>
      </c>
      <c r="E346" s="6" t="inlineStr">
        <is>
          <t>fishing_lat</t>
        </is>
      </c>
      <c r="F346" s="7" t="inlineStr">
        <is>
          <t>조업 중심 위도 (중앙값)</t>
        </is>
      </c>
      <c r="G346" s="7" t="inlineStr">
        <is>
          <t>선박 전체 기간에서 직접 계산</t>
        </is>
      </c>
      <c r="H346" s="6" t="inlineStr">
        <is>
          <t>L3 선박</t>
        </is>
      </c>
      <c r="I346" s="6" t="inlineStr">
        <is>
          <t>민성</t>
        </is>
      </c>
      <c r="J346" s="6" t="inlineStr">
        <is>
          <t>O</t>
        </is>
      </c>
      <c r="K346" s="6" t="inlineStr"/>
      <c r="L346" s="6" t="inlineStr"/>
      <c r="M346" s="6" t="inlineStr">
        <is>
          <t>O</t>
        </is>
      </c>
      <c r="N346" s="6" t="inlineStr"/>
      <c r="O346" s="12" t="n"/>
      <c r="P346" s="12" t="n">
        <v>0.2</v>
      </c>
      <c r="Q346" s="6" t="n"/>
      <c r="R346" s="6" t="n">
        <v>38</v>
      </c>
      <c r="S346" s="6" t="inlineStr">
        <is>
          <t>lat_c</t>
        </is>
      </c>
    </row>
    <row r="347">
      <c r="A347" s="13" t="n">
        <v>346</v>
      </c>
      <c r="B347" s="13" t="inlineStr">
        <is>
          <t>home_port_km</t>
        </is>
      </c>
      <c r="C347" s="13" t="inlineStr">
        <is>
          <t>위치(LOC)</t>
        </is>
      </c>
      <c r="D347" s="13" t="inlineStr">
        <is>
          <t>좌표</t>
        </is>
      </c>
      <c r="E347" s="13" t="inlineStr">
        <is>
          <t>home_port_km</t>
        </is>
      </c>
      <c r="F347" s="14" t="inlineStr">
        <is>
          <t>모항↔최근접 공용항구 거리(km)</t>
        </is>
      </c>
      <c r="G347" s="14" t="inlineStr">
        <is>
          <t>선박 전체 기간에서 직접 계산</t>
        </is>
      </c>
      <c r="H347" s="13" t="inlineStr">
        <is>
          <t>L3 선박</t>
        </is>
      </c>
      <c r="I347" s="13" t="inlineStr">
        <is>
          <t>나연</t>
        </is>
      </c>
      <c r="J347" s="13" t="inlineStr">
        <is>
          <t>O</t>
        </is>
      </c>
      <c r="K347" s="13" t="inlineStr"/>
      <c r="L347" s="13" t="inlineStr"/>
      <c r="M347" s="13" t="inlineStr">
        <is>
          <t>O</t>
        </is>
      </c>
      <c r="N347" s="13" t="inlineStr">
        <is>
          <t>O</t>
        </is>
      </c>
      <c r="O347" s="15" t="n"/>
      <c r="P347" s="15" t="n">
        <v>0.8</v>
      </c>
      <c r="Q347" s="13" t="n"/>
      <c r="R347" s="13" t="n">
        <v>8</v>
      </c>
      <c r="S347" s="13" t="inlineStr"/>
    </row>
  </sheetData>
  <autoFilter ref="A1:S3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8" customWidth="1" min="4" max="4"/>
    <col width="70" customWidth="1" min="5" max="5"/>
    <col width="14" customWidth="1" min="6" max="6"/>
    <col width="8" customWidth="1" min="7" max="7"/>
    <col width="18" customWidth="1" min="8" max="8"/>
    <col width="10" customWidth="1" min="9" max="9"/>
  </cols>
  <sheetData>
    <row r="1">
      <c r="A1" s="5" t="inlineStr">
        <is>
          <t>B 순위</t>
        </is>
      </c>
      <c r="B1" s="5" t="inlineStr">
        <is>
          <t>피처명</t>
        </is>
      </c>
      <c r="C1" s="5" t="inlineStr">
        <is>
          <t>대분류</t>
        </is>
      </c>
      <c r="D1" s="5" t="inlineStr">
        <is>
          <t>세부 구분</t>
        </is>
      </c>
      <c r="E1" s="5" t="inlineStr">
        <is>
          <t>한 줄 설명</t>
        </is>
      </c>
      <c r="F1" s="5" t="inlineStr">
        <is>
          <t>출처</t>
        </is>
      </c>
      <c r="G1" s="5" t="inlineStr">
        <is>
          <t>위치(LOC)</t>
        </is>
      </c>
      <c r="H1" s="5" t="inlineStr">
        <is>
          <t>가설</t>
        </is>
      </c>
      <c r="I1" s="5" t="inlineStr">
        <is>
          <t>5fold 선정빈도</t>
        </is>
      </c>
    </row>
    <row r="2">
      <c r="A2" s="6" t="n">
        <v>1</v>
      </c>
      <c r="B2" s="6" t="inlineStr">
        <is>
          <t>area_range_km</t>
        </is>
      </c>
      <c r="C2" s="6" t="inlineStr">
        <is>
          <t>이동량·공간범위</t>
        </is>
      </c>
      <c r="D2" s="6" t="inlineStr">
        <is>
          <t>조업 해역 크기(선박)</t>
        </is>
      </c>
      <c r="E2" s="7" t="inlineStr">
        <is>
          <t>조업 해역 넓이 (일별 중심 5~95% 범위, km)  ← 선박 전체 기간에서 직접 계산</t>
        </is>
      </c>
      <c r="F2" s="6" t="inlineStr">
        <is>
          <t>나연</t>
        </is>
      </c>
      <c r="G2" s="6" t="inlineStr"/>
      <c r="H2" s="6" t="inlineStr"/>
      <c r="I2" s="12" t="n">
        <v>1</v>
      </c>
    </row>
    <row r="3">
      <c r="A3" s="6" t="n">
        <v>2</v>
      </c>
      <c r="B3" s="6" t="inlineStr">
        <is>
          <t>cross_day_revisit</t>
        </is>
      </c>
      <c r="C3" s="6" t="inlineStr">
        <is>
          <t>재방문·어장반복(A)</t>
        </is>
      </c>
      <c r="D3" s="6" t="inlineStr">
        <is>
          <t>날짜 간 어장 반복</t>
        </is>
      </c>
      <c r="E3" s="7" t="inlineStr">
        <is>
          <t>조업 1km 격자 중 여러 날 다시 찾은 칸 비율  ← 선박 전체 기간에서 직접 계산</t>
        </is>
      </c>
      <c r="F3" s="6" t="inlineStr">
        <is>
          <t>민성·가설 A</t>
        </is>
      </c>
      <c r="G3" s="6" t="inlineStr"/>
      <c r="H3" s="6" t="inlineStr">
        <is>
          <t>가설 A(재방문)</t>
        </is>
      </c>
      <c r="I3" s="12" t="n">
        <v>1</v>
      </c>
    </row>
    <row r="4">
      <c r="A4" s="6" t="n">
        <v>3</v>
      </c>
      <c r="B4" s="6" t="inlineStr">
        <is>
          <t>mv_n_stop_move_switch_median</t>
        </is>
      </c>
      <c r="C4" s="6" t="inlineStr">
        <is>
          <t>시간 사용·항차</t>
        </is>
      </c>
      <c r="D4" s="6" t="inlineStr">
        <is>
          <t>상태 전환</t>
        </is>
      </c>
      <c r="E4" s="7" t="inlineStr">
        <is>
          <t>정지↔이동 전환 횟수  ← 출어일마다 이동 시간대 평균 → 출어일들의 중앙값</t>
        </is>
      </c>
      <c r="F4" s="6" t="inlineStr">
        <is>
          <t>나연</t>
        </is>
      </c>
      <c r="G4" s="6" t="inlineStr"/>
      <c r="H4" s="6" t="inlineStr"/>
      <c r="I4" s="12" t="n">
        <v>1</v>
      </c>
    </row>
    <row r="5">
      <c r="A5" s="6" t="n">
        <v>4</v>
      </c>
      <c r="B5" s="6" t="inlineStr">
        <is>
          <t>lat_c</t>
        </is>
      </c>
      <c r="C5" s="6" t="inlineStr">
        <is>
          <t>위치(LOC)</t>
        </is>
      </c>
      <c r="D5" s="6" t="inlineStr">
        <is>
          <t>좌표</t>
        </is>
      </c>
      <c r="E5" s="7" t="inlineStr">
        <is>
          <t>선박 대표 위도 (전체 시간 중앙값)  ← 선박 전체 기간에서 직접 계산</t>
        </is>
      </c>
      <c r="F5" s="6" t="inlineStr">
        <is>
          <t>공통</t>
        </is>
      </c>
      <c r="G5" s="6" t="inlineStr">
        <is>
          <t>O</t>
        </is>
      </c>
      <c r="H5" s="6" t="inlineStr"/>
      <c r="I5" s="12" t="n">
        <v>0.8</v>
      </c>
    </row>
    <row r="6">
      <c r="A6" s="6" t="n">
        <v>5</v>
      </c>
      <c r="B6" s="6" t="inlineStr">
        <is>
          <t>longest_streak_std</t>
        </is>
      </c>
      <c r="C6" s="6" t="inlineStr">
        <is>
          <t>하루 리듬·시각(E)</t>
        </is>
      </c>
      <c r="D6" s="6" t="inlineStr">
        <is>
          <t>이동 블록 구조</t>
        </is>
      </c>
      <c r="E6" s="7" t="inlineStr">
        <is>
          <t>최장 연속 이동 시간 수  ← 출어일 값들의 표준편차(날짜 간 변동)</t>
        </is>
      </c>
      <c r="F6" s="6" t="inlineStr">
        <is>
          <t>민성·가설 E</t>
        </is>
      </c>
      <c r="G6" s="6" t="inlineStr"/>
      <c r="H6" s="6" t="inlineStr">
        <is>
          <t>가설 E(하루 리듬)</t>
        </is>
      </c>
      <c r="I6" s="12" t="n">
        <v>0.8</v>
      </c>
    </row>
    <row r="7">
      <c r="A7" s="6" t="n">
        <v>6</v>
      </c>
      <c r="B7" s="6" t="inlineStr">
        <is>
          <t>daytype_2_share</t>
        </is>
      </c>
      <c r="C7" s="6" t="inlineStr">
        <is>
          <t>일 유형·이질성(G)</t>
        </is>
      </c>
      <c r="D7" s="6" t="inlineStr">
        <is>
          <t>출어일 유형</t>
        </is>
      </c>
      <c r="E7" s="7" t="inlineStr">
        <is>
          <t>출어일 유형 2번 비중 (하루 피처 KMeans 8군집, 라벨 미사용)  ← 선박 전체 기간에서 직접 계산</t>
        </is>
      </c>
      <c r="F7" s="6" t="inlineStr">
        <is>
          <t>가설 G</t>
        </is>
      </c>
      <c r="G7" s="6" t="inlineStr"/>
      <c r="H7" s="6" t="inlineStr">
        <is>
          <t>가설 G(이질성)</t>
        </is>
      </c>
      <c r="I7" s="12" t="n">
        <v>0.8</v>
      </c>
    </row>
    <row r="8">
      <c r="A8" s="6" t="n">
        <v>7</v>
      </c>
      <c r="B8" s="6" t="inlineStr">
        <is>
          <t>longest_streak_mean</t>
        </is>
      </c>
      <c r="C8" s="6" t="inlineStr">
        <is>
          <t>하루 리듬·시각(E)</t>
        </is>
      </c>
      <c r="D8" s="6" t="inlineStr">
        <is>
          <t>이동 블록 구조</t>
        </is>
      </c>
      <c r="E8" s="7" t="inlineStr">
        <is>
          <t>최장 연속 이동 시간 수  ← 출어일 값들의 평균</t>
        </is>
      </c>
      <c r="F8" s="6" t="inlineStr">
        <is>
          <t>민성·가설 E</t>
        </is>
      </c>
      <c r="G8" s="6" t="inlineStr"/>
      <c r="H8" s="6" t="inlineStr">
        <is>
          <t>가설 E(하루 리듬)</t>
        </is>
      </c>
      <c r="I8" s="12" t="n">
        <v>0.8</v>
      </c>
    </row>
    <row r="9">
      <c r="A9" s="6" t="n">
        <v>8</v>
      </c>
      <c r="B9" s="6" t="inlineStr">
        <is>
          <t>home_port_km</t>
        </is>
      </c>
      <c r="C9" s="6" t="inlineStr">
        <is>
          <t>위치(LOC)</t>
        </is>
      </c>
      <c r="D9" s="6" t="inlineStr">
        <is>
          <t>좌표</t>
        </is>
      </c>
      <c r="E9" s="7" t="inlineStr">
        <is>
          <t>모항↔최근접 공용항구 거리(km)  ← 선박 전체 기간에서 직접 계산</t>
        </is>
      </c>
      <c r="F9" s="6" t="inlineStr">
        <is>
          <t>나연</t>
        </is>
      </c>
      <c r="G9" s="6" t="inlineStr">
        <is>
          <t>O</t>
        </is>
      </c>
      <c r="H9" s="6" t="inlineStr"/>
      <c r="I9" s="12" t="n">
        <v>0.8</v>
      </c>
    </row>
    <row r="10">
      <c r="A10" s="6" t="n">
        <v>9</v>
      </c>
      <c r="B10" s="6" t="inlineStr">
        <is>
          <t>mv_ks_straight_max_m_std</t>
        </is>
      </c>
      <c r="C10" s="6" t="inlineStr">
        <is>
          <t>경로형태·직선투망(B)</t>
        </is>
      </c>
      <c r="D10" s="6" t="inlineStr">
        <is>
          <t>직선 투망 형상</t>
        </is>
      </c>
      <c r="E10" s="7" t="inlineStr">
        <is>
          <t>5-step 최장 직선 이동(m, 회전 15° 미만 연속) = 투망 길이 추정  ← 출어일마다 이동 시간대 평균 → 출어일들의 표준편차(날짜 간 변동)</t>
        </is>
      </c>
      <c r="F10" s="6" t="inlineStr">
        <is>
          <t>민성·가설 B</t>
        </is>
      </c>
      <c r="G10" s="6" t="inlineStr"/>
      <c r="H10" s="6" t="inlineStr">
        <is>
          <t>가설 B(직선 투망)</t>
        </is>
      </c>
      <c r="I10" s="12" t="n">
        <v>0.8</v>
      </c>
    </row>
    <row r="11">
      <c r="A11" s="6" t="n">
        <v>10</v>
      </c>
      <c r="B11" s="6" t="inlineStr">
        <is>
          <t>n_cells_200m_std</t>
        </is>
      </c>
      <c r="C11" s="6" t="inlineStr">
        <is>
          <t>재방문·어장반복(A)</t>
        </is>
      </c>
      <c r="D11" s="6" t="inlineStr">
        <is>
          <t>하루 내 재방문</t>
        </is>
      </c>
      <c r="E11" s="7" t="inlineStr">
        <is>
          <t>방문한 200m 격자 수  ← 출어일 값들의 표준편차(날짜 간 변동)</t>
        </is>
      </c>
      <c r="F11" s="6" t="inlineStr">
        <is>
          <t>가설 A</t>
        </is>
      </c>
      <c r="G11" s="6" t="inlineStr"/>
      <c r="H11" s="6" t="inlineStr">
        <is>
          <t>가설 A(재방문)</t>
        </is>
      </c>
      <c r="I11" s="12" t="n">
        <v>0.8</v>
      </c>
    </row>
    <row r="12">
      <c r="A12" s="6" t="n">
        <v>11</v>
      </c>
      <c r="B12" s="6" t="inlineStr">
        <is>
          <t>mv_last_hour_std</t>
        </is>
      </c>
      <c r="C12" s="6" t="inlineStr">
        <is>
          <t>하루 리듬·시각(E)</t>
        </is>
      </c>
      <c r="D12" s="6" t="inlineStr">
        <is>
          <t>시작·종료 시각</t>
        </is>
      </c>
      <c r="E12" s="7" t="inlineStr">
        <is>
          <t>조업(이동) 종료 시각  ← 출어일 값들의 표준편차(날짜 간 변동)</t>
        </is>
      </c>
      <c r="F12" s="6" t="inlineStr">
        <is>
          <t>나연</t>
        </is>
      </c>
      <c r="G12" s="6" t="inlineStr"/>
      <c r="H12" s="6" t="inlineStr">
        <is>
          <t>가설 E(하루 리듬)</t>
        </is>
      </c>
      <c r="I12" s="12" t="n">
        <v>0.8</v>
      </c>
    </row>
    <row r="13">
      <c r="A13" s="6" t="n">
        <v>12</v>
      </c>
      <c r="B13" s="6" t="inlineStr">
        <is>
          <t>lon_c</t>
        </is>
      </c>
      <c r="C13" s="6" t="inlineStr">
        <is>
          <t>위치(LOC)</t>
        </is>
      </c>
      <c r="D13" s="6" t="inlineStr">
        <is>
          <t>좌표</t>
        </is>
      </c>
      <c r="E13" s="7" t="inlineStr">
        <is>
          <t>선박 대표 경도 (전체 시간 중앙값)  ← 선박 전체 기간에서 직접 계산</t>
        </is>
      </c>
      <c r="F13" s="6" t="inlineStr">
        <is>
          <t>공통</t>
        </is>
      </c>
      <c r="G13" s="6" t="inlineStr">
        <is>
          <t>O</t>
        </is>
      </c>
      <c r="H13" s="6" t="inlineStr"/>
      <c r="I13" s="12" t="n">
        <v>0.6</v>
      </c>
    </row>
    <row r="14">
      <c r="A14" s="6" t="n">
        <v>13</v>
      </c>
      <c r="B14" s="6" t="inlineStr">
        <is>
          <t>fh_pca_elong_q90</t>
        </is>
      </c>
      <c r="C14" s="6" t="inlineStr">
        <is>
          <t>경로형태·직선투망(B)</t>
        </is>
      </c>
      <c r="D14" s="6" t="inlineStr">
        <is>
          <t>직선 투망 형상</t>
        </is>
      </c>
      <c r="E14" s="7" t="inlineStr">
        <is>
          <t>PCA 연신율 log(1+λ1/λ2): 직선 모양일수록 큼  ← 조업 시간대 1시간 값들의 선박별 90% 분위</t>
        </is>
      </c>
      <c r="F14" s="6" t="inlineStr">
        <is>
          <t>가설 B</t>
        </is>
      </c>
      <c r="G14" s="6" t="inlineStr"/>
      <c r="H14" s="6" t="inlineStr">
        <is>
          <t>가설 B(직선 투망)</t>
        </is>
      </c>
      <c r="I14" s="12" t="n">
        <v>0.6</v>
      </c>
    </row>
    <row r="15">
      <c r="A15" s="6" t="n">
        <v>14</v>
      </c>
      <c r="B15" s="6" t="inlineStr">
        <is>
          <t>fh_turn_mean_q90</t>
        </is>
      </c>
      <c r="C15" s="6" t="inlineStr">
        <is>
          <t>방향·회전(D)</t>
        </is>
      </c>
      <c r="D15" s="6" t="inlineStr">
        <is>
          <t>회전각</t>
        </is>
      </c>
      <c r="E15" s="7" t="inlineStr">
        <is>
          <t>회전각 평균(°)  ← 조업 시간대 1시간 값들의 선박별 90% 분위</t>
        </is>
      </c>
      <c r="F15" s="6" t="inlineStr">
        <is>
          <t>공통</t>
        </is>
      </c>
      <c r="G15" s="6" t="inlineStr"/>
      <c r="H15" s="6" t="inlineStr"/>
      <c r="I15" s="12" t="n">
        <v>0.6</v>
      </c>
    </row>
    <row r="16">
      <c r="A16" s="6" t="n">
        <v>15</v>
      </c>
      <c r="B16" s="6" t="inlineStr">
        <is>
          <t>revisit_cell_ratio_std</t>
        </is>
      </c>
      <c r="C16" s="6" t="inlineStr">
        <is>
          <t>재방문·어장반복(A)</t>
        </is>
      </c>
      <c r="D16" s="6" t="inlineStr">
        <is>
          <t>하루 내 재방문</t>
        </is>
      </c>
      <c r="E16" s="7" t="inlineStr">
        <is>
          <t>200m 격자 중 여러 시간대에 방문한 칸 비율  ← 출어일 값들의 표준편차(날짜 간 변동)</t>
        </is>
      </c>
      <c r="F16" s="6" t="inlineStr">
        <is>
          <t>가설 A</t>
        </is>
      </c>
      <c r="G16" s="6" t="inlineStr"/>
      <c r="H16" s="6" t="inlineStr">
        <is>
          <t>가설 A(재방문)</t>
        </is>
      </c>
      <c r="I16" s="12" t="n">
        <v>0.6</v>
      </c>
    </row>
    <row r="17">
      <c r="A17" s="6" t="n">
        <v>16</v>
      </c>
      <c r="B17" s="6" t="inlineStr">
        <is>
          <t>mv_share_night_mean</t>
        </is>
      </c>
      <c r="C17" s="6" t="inlineStr">
        <is>
          <t>하루 리듬·시각(E)</t>
        </is>
      </c>
      <c r="D17" s="6" t="inlineStr">
        <is>
          <t>시간대 비중</t>
        </is>
      </c>
      <c r="E17" s="7" t="inlineStr">
        <is>
          <t>이동 시간 중 밤(18~23시) 비중  ← 출어일 값들의 평균</t>
        </is>
      </c>
      <c r="F17" s="6" t="inlineStr">
        <is>
          <t>나연</t>
        </is>
      </c>
      <c r="G17" s="6" t="inlineStr"/>
      <c r="H17" s="6" t="inlineStr"/>
      <c r="I17" s="12" t="n">
        <v>0.6</v>
      </c>
    </row>
    <row r="18">
      <c r="A18" s="6" t="n">
        <v>17</v>
      </c>
      <c r="B18" s="6" t="inlineStr">
        <is>
          <t>revisit_cell_ratio_mean</t>
        </is>
      </c>
      <c r="C18" s="6" t="inlineStr">
        <is>
          <t>재방문·어장반복(A)</t>
        </is>
      </c>
      <c r="D18" s="6" t="inlineStr">
        <is>
          <t>하루 내 재방문</t>
        </is>
      </c>
      <c r="E18" s="7" t="inlineStr">
        <is>
          <t>200m 격자 중 여러 시간대에 방문한 칸 비율  ← 출어일 값들의 평균</t>
        </is>
      </c>
      <c r="F18" s="6" t="inlineStr">
        <is>
          <t>가설 A</t>
        </is>
      </c>
      <c r="G18" s="6" t="inlineStr"/>
      <c r="H18" s="6" t="inlineStr">
        <is>
          <t>가설 A(재방문)</t>
        </is>
      </c>
      <c r="I18" s="12" t="n">
        <v>0.6</v>
      </c>
    </row>
    <row r="19">
      <c r="A19" s="6" t="n">
        <v>18</v>
      </c>
      <c r="B19" s="6" t="inlineStr">
        <is>
          <t>fh_pca_elong_q50</t>
        </is>
      </c>
      <c r="C19" s="6" t="inlineStr">
        <is>
          <t>경로형태·직선투망(B)</t>
        </is>
      </c>
      <c r="D19" s="6" t="inlineStr">
        <is>
          <t>직선 투망 형상</t>
        </is>
      </c>
      <c r="E19" s="7" t="inlineStr">
        <is>
          <t>PCA 연신율 log(1+λ1/λ2): 직선 모양일수록 큼  ← 조업 시간대 1시간 값들의 선박별 중앙값</t>
        </is>
      </c>
      <c r="F19" s="6" t="inlineStr">
        <is>
          <t>가설 B</t>
        </is>
      </c>
      <c r="G19" s="6" t="inlineStr"/>
      <c r="H19" s="6" t="inlineStr">
        <is>
          <t>가설 B(직선 투망)</t>
        </is>
      </c>
      <c r="I19" s="12" t="n">
        <v>0.6</v>
      </c>
    </row>
    <row r="20">
      <c r="A20" s="6" t="n">
        <v>19</v>
      </c>
      <c r="B20" s="6" t="inlineStr">
        <is>
          <t>top3_cell_share_median</t>
        </is>
      </c>
      <c r="C20" s="6" t="inlineStr">
        <is>
          <t>재방문·어장반복(A)</t>
        </is>
      </c>
      <c r="D20" s="6" t="inlineStr">
        <is>
          <t>하루 내 재방문</t>
        </is>
      </c>
      <c r="E20" s="7" t="inlineStr">
        <is>
          <t>상위 3칸 체류 비중  ← 출어일 값들의 중앙값</t>
        </is>
      </c>
      <c r="F20" s="6" t="inlineStr">
        <is>
          <t>가설 A</t>
        </is>
      </c>
      <c r="G20" s="6" t="inlineStr"/>
      <c r="H20" s="6" t="inlineStr">
        <is>
          <t>가설 A(재방문)</t>
        </is>
      </c>
      <c r="I20" s="12" t="n">
        <v>0.6</v>
      </c>
    </row>
    <row r="21">
      <c r="A21" s="6" t="n">
        <v>20</v>
      </c>
      <c r="B21" s="6" t="inlineStr">
        <is>
          <t>inter_hour_jump_med_km_median</t>
        </is>
      </c>
      <c r="C21" s="6" t="inlineStr">
        <is>
          <t>속도 구조(C)</t>
        </is>
      </c>
      <c r="D21" s="6" t="inlineStr">
        <is>
          <t>시간대 간 점프</t>
        </is>
      </c>
      <c r="E21" s="7" t="inlineStr">
        <is>
          <t>연속 시간대 끝→다음 시작 거리 중앙값(km)  ← 출어일 값들의 중앙값</t>
        </is>
      </c>
      <c r="F21" s="6" t="inlineStr">
        <is>
          <t>민성</t>
        </is>
      </c>
      <c r="G21" s="6" t="inlineStr"/>
      <c r="H21" s="6" t="inlineStr"/>
      <c r="I21" s="12" t="n">
        <v>0.6</v>
      </c>
    </row>
    <row r="22">
      <c r="A22" s="6" t="n">
        <v>21</v>
      </c>
      <c r="B22" s="6" t="inlineStr">
        <is>
          <t>moving_days_per_month</t>
        </is>
      </c>
      <c r="C22" s="6" t="inlineStr">
        <is>
          <t>시간 사용·항차</t>
        </is>
      </c>
      <c r="D22" s="6" t="inlineStr">
        <is>
          <t>출어 활동량</t>
        </is>
      </c>
      <c r="E22" s="7" t="inlineStr">
        <is>
          <t>월평균 출어일  ← 선박 전체 기간에서 직접 계산</t>
        </is>
      </c>
      <c r="F22" s="6" t="inlineStr">
        <is>
          <t>나연</t>
        </is>
      </c>
      <c r="G22" s="6" t="inlineStr"/>
      <c r="H22" s="6" t="inlineStr"/>
      <c r="I22" s="12" t="n">
        <v>0.6</v>
      </c>
    </row>
    <row r="23">
      <c r="A23" s="6" t="n">
        <v>22</v>
      </c>
      <c r="B23" s="6" t="inlineStr">
        <is>
          <t>home_lon</t>
        </is>
      </c>
      <c r="C23" s="6" t="inlineStr">
        <is>
          <t>위치(LOC)</t>
        </is>
      </c>
      <c r="D23" s="6" t="inlineStr">
        <is>
          <t>좌표</t>
        </is>
      </c>
      <c r="E23" s="7" t="inlineStr">
        <is>
          <t>모항 경도  ← 선박 전체 기간에서 직접 계산</t>
        </is>
      </c>
      <c r="F23" s="6" t="inlineStr">
        <is>
          <t>민성</t>
        </is>
      </c>
      <c r="G23" s="6" t="inlineStr">
        <is>
          <t>O</t>
        </is>
      </c>
      <c r="H23" s="6" t="inlineStr"/>
      <c r="I23" s="12" t="n">
        <v>0.4</v>
      </c>
    </row>
    <row r="24">
      <c r="A24" s="6" t="n">
        <v>23</v>
      </c>
      <c r="B24" s="6" t="inlineStr">
        <is>
          <t>dist_day_km_std</t>
        </is>
      </c>
      <c r="C24" s="6" t="inlineStr">
        <is>
          <t>이동량·공간범위</t>
        </is>
      </c>
      <c r="D24" s="6" t="inlineStr">
        <is>
          <t>이동거리</t>
        </is>
      </c>
      <c r="E24" s="7" t="inlineStr">
        <is>
          <t>하루 평활 이동거리(km)  ← 출어일 값들의 표준편차(날짜 간 변동)</t>
        </is>
      </c>
      <c r="F24" s="6" t="inlineStr">
        <is>
          <t>나연·지유</t>
        </is>
      </c>
      <c r="G24" s="6" t="inlineStr"/>
      <c r="H24" s="6" t="inlineStr">
        <is>
          <t>가설 G(이질성: 날짜 간 표준편차)</t>
        </is>
      </c>
      <c r="I24" s="12" t="n">
        <v>0.4</v>
      </c>
    </row>
    <row r="25">
      <c r="A25" s="6" t="n">
        <v>24</v>
      </c>
      <c r="B25" s="6" t="inlineStr">
        <is>
          <t>home_km_max_mean</t>
        </is>
      </c>
      <c r="C25" s="6" t="inlineStr">
        <is>
          <t>이동량·공간범위</t>
        </is>
      </c>
      <c r="D25" s="6" t="inlineStr">
        <is>
          <t>모항·항구 거리</t>
        </is>
      </c>
      <c r="E25" s="7" t="inlineStr">
        <is>
          <t>모항에서 최대 거리(km)  ← 출어일 값들의 평균</t>
        </is>
      </c>
      <c r="F25" s="6" t="inlineStr">
        <is>
          <t>민성·나연</t>
        </is>
      </c>
      <c r="G25" s="6" t="inlineStr"/>
      <c r="H25" s="6" t="inlineStr"/>
      <c r="I25" s="12" t="n">
        <v>0.4</v>
      </c>
    </row>
    <row r="26">
      <c r="A26" s="6" t="n">
        <v>25</v>
      </c>
      <c r="B26" s="6" t="inlineStr">
        <is>
          <t>fishing_night_share</t>
        </is>
      </c>
      <c r="C26" s="6" t="inlineStr">
        <is>
          <t>하루 리듬·시각(E)</t>
        </is>
      </c>
      <c r="D26" s="6" t="inlineStr">
        <is>
          <t>시간대 비중</t>
        </is>
      </c>
      <c r="E26" s="7" t="inlineStr">
        <is>
          <t>조업 시간대 중 야간 비율  ← 선박 전체 기간에서 직접 계산</t>
        </is>
      </c>
      <c r="F26" s="6" t="inlineStr">
        <is>
          <t>민성</t>
        </is>
      </c>
      <c r="G26" s="6" t="inlineStr"/>
      <c r="H26" s="6" t="inlineStr"/>
      <c r="I26" s="12" t="n">
        <v>0.4</v>
      </c>
    </row>
    <row r="27">
      <c r="A27" s="6" t="n">
        <v>26</v>
      </c>
      <c r="B27" s="6" t="inlineStr">
        <is>
          <t>season_m3_share</t>
        </is>
      </c>
      <c r="C27" s="6" t="inlineStr">
        <is>
          <t>계절(H)</t>
        </is>
      </c>
      <c r="D27" s="6" t="inlineStr">
        <is>
          <t>월별 출어</t>
        </is>
      </c>
      <c r="E27" s="7" t="inlineStr">
        <is>
          <t>3월 출어일 비중  ← 선박 전체 기간에서 직접 계산</t>
        </is>
      </c>
      <c r="F27" s="6" t="inlineStr">
        <is>
          <t>가설 H</t>
        </is>
      </c>
      <c r="G27" s="6" t="inlineStr"/>
      <c r="H27" s="6" t="inlineStr">
        <is>
          <t>가설 H(계절)</t>
        </is>
      </c>
      <c r="I27" s="12" t="n">
        <v>0.4</v>
      </c>
    </row>
    <row r="28">
      <c r="A28" s="6" t="n">
        <v>27</v>
      </c>
      <c r="B28" s="6" t="inlineStr">
        <is>
          <t>mv_last_hour_mean</t>
        </is>
      </c>
      <c r="C28" s="6" t="inlineStr">
        <is>
          <t>하루 리듬·시각(E)</t>
        </is>
      </c>
      <c r="D28" s="6" t="inlineStr">
        <is>
          <t>시작·종료 시각</t>
        </is>
      </c>
      <c r="E28" s="7" t="inlineStr">
        <is>
          <t>조업(이동) 종료 시각  ← 출어일 값들의 평균</t>
        </is>
      </c>
      <c r="F28" s="6" t="inlineStr">
        <is>
          <t>나연</t>
        </is>
      </c>
      <c r="G28" s="6" t="inlineStr"/>
      <c r="H28" s="6" t="inlineStr"/>
      <c r="I28" s="12" t="n">
        <v>0.4</v>
      </c>
    </row>
    <row r="29">
      <c r="A29" s="6" t="n">
        <v>28</v>
      </c>
      <c r="B29" s="6" t="inlineStr">
        <is>
          <t>fh_n_stays_q90</t>
        </is>
      </c>
      <c r="C29" s="6" t="inlineStr">
        <is>
          <t>체류점</t>
        </is>
      </c>
      <c r="D29" s="6" t="inlineStr">
        <is>
          <t>체류점</t>
        </is>
      </c>
      <c r="E29" s="7" t="inlineStr">
        <is>
          <t>체류점 횟수 (반경 30m 안에 3점 이상 머묾)  ← 조업 시간대 1시간 값들의 선박별 90% 분위</t>
        </is>
      </c>
      <c r="F29" s="6" t="inlineStr">
        <is>
          <t>민성</t>
        </is>
      </c>
      <c r="G29" s="6" t="inlineStr"/>
      <c r="H29" s="6" t="inlineStr">
        <is>
          <t>가설 관련</t>
        </is>
      </c>
      <c r="I29" s="12" t="n">
        <v>0.4</v>
      </c>
    </row>
    <row r="30">
      <c r="A30" s="6" t="n">
        <v>29</v>
      </c>
      <c r="B30" s="6" t="inlineStr">
        <is>
          <t>mv_seg_sinuosity_mean_median</t>
        </is>
      </c>
      <c r="C30" s="6" t="inlineStr">
        <is>
          <t>경로형태·직선투망(B)</t>
        </is>
      </c>
      <c r="D30" s="6" t="inlineStr">
        <is>
          <t>직진도·구불거림</t>
        </is>
      </c>
      <c r="E30" s="7" t="inlineStr">
        <is>
          <t>구간별 구불거림 평균 (변위 100m 이상 구간)  ← 출어일마다 이동 시간대 평균 → 출어일들의 중앙값</t>
        </is>
      </c>
      <c r="F30" s="6" t="inlineStr">
        <is>
          <t>지유</t>
        </is>
      </c>
      <c r="G30" s="6" t="inlineStr"/>
      <c r="H30" s="6" t="inlineStr"/>
      <c r="I30" s="12" t="n">
        <v>0.4</v>
      </c>
    </row>
    <row r="31">
      <c r="A31" s="6" t="n">
        <v>30</v>
      </c>
      <c r="B31" s="6" t="inlineStr">
        <is>
          <t>mv_pca_elong_median</t>
        </is>
      </c>
      <c r="C31" s="6" t="inlineStr">
        <is>
          <t>경로형태·직선투망(B)</t>
        </is>
      </c>
      <c r="D31" s="6" t="inlineStr">
        <is>
          <t>직선 투망 형상</t>
        </is>
      </c>
      <c r="E31" s="7" t="inlineStr">
        <is>
          <t>PCA 연신율 log(1+λ1/λ2): 직선 모양일수록 큼  ← 출어일마다 이동 시간대 평균 → 출어일들의 중앙값</t>
        </is>
      </c>
      <c r="F31" s="6" t="inlineStr">
        <is>
          <t>가설 B</t>
        </is>
      </c>
      <c r="G31" s="6" t="inlineStr"/>
      <c r="H31" s="6" t="inlineStr">
        <is>
          <t>가설 B(직선 투망)</t>
        </is>
      </c>
      <c r="I31" s="12" t="n">
        <v>0.4</v>
      </c>
    </row>
  </sheetData>
  <autoFilter ref="A1:I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56" customWidth="1" min="4" max="4"/>
    <col width="14" customWidth="1" min="5" max="5"/>
    <col width="8" customWidth="1" min="6" max="6"/>
    <col width="10" customWidth="1" min="7" max="7"/>
    <col width="10" customWidth="1" min="8" max="8"/>
  </cols>
  <sheetData>
    <row r="1">
      <c r="A1" s="5" t="inlineStr">
        <is>
          <t>피처명</t>
        </is>
      </c>
      <c r="B1" s="5" t="inlineStr">
        <is>
          <t>대분류</t>
        </is>
      </c>
      <c r="C1" s="5" t="inlineStr">
        <is>
          <t>세부 구분</t>
        </is>
      </c>
      <c r="D1" s="5" t="inlineStr">
        <is>
          <t>설명</t>
        </is>
      </c>
      <c r="E1" s="5" t="inlineStr">
        <is>
          <t>출처</t>
        </is>
      </c>
      <c r="F1" s="5" t="inlineStr">
        <is>
          <t>위치(LOC)</t>
        </is>
      </c>
      <c r="G1" s="5" t="inlineStr">
        <is>
          <t>MIL Pool A</t>
        </is>
      </c>
      <c r="H1" s="5" t="inlineStr">
        <is>
          <t>MIL Pool B</t>
        </is>
      </c>
    </row>
    <row r="2">
      <c r="A2" s="6" t="inlineStr">
        <is>
          <t>n_hours</t>
        </is>
      </c>
      <c r="B2" s="6" t="inlineStr">
        <is>
          <t>시간 사용·항차</t>
        </is>
      </c>
      <c r="C2" s="6" t="inlineStr">
        <is>
          <t>출어 활동량</t>
        </is>
      </c>
      <c r="D2" s="7" t="inlineStr">
        <is>
          <t>하루 기록 시간대 수</t>
        </is>
      </c>
      <c r="E2" s="6" t="inlineStr">
        <is>
          <t>나연·민성</t>
        </is>
      </c>
      <c r="F2" s="6" t="inlineStr"/>
      <c r="G2" s="6" t="inlineStr">
        <is>
          <t>O</t>
        </is>
      </c>
      <c r="H2" s="6" t="inlineStr">
        <is>
          <t>O</t>
        </is>
      </c>
    </row>
    <row r="3">
      <c r="A3" s="6" t="inlineStr">
        <is>
          <t>first_hour</t>
        </is>
      </c>
      <c r="B3" s="6" t="inlineStr">
        <is>
          <t>하루 리듬·시각(E)</t>
        </is>
      </c>
      <c r="C3" s="6" t="inlineStr">
        <is>
          <t>시작·종료 시각</t>
        </is>
      </c>
      <c r="D3" s="7" t="inlineStr">
        <is>
          <t>첫 기록 시각</t>
        </is>
      </c>
      <c r="E3" s="6" t="inlineStr">
        <is>
          <t>민성·지유</t>
        </is>
      </c>
      <c r="F3" s="6" t="inlineStr"/>
      <c r="G3" s="6" t="inlineStr">
        <is>
          <t>O</t>
        </is>
      </c>
      <c r="H3" s="6" t="inlineStr">
        <is>
          <t>O</t>
        </is>
      </c>
    </row>
    <row r="4">
      <c r="A4" s="6" t="inlineStr">
        <is>
          <t>last_hour</t>
        </is>
      </c>
      <c r="B4" s="6" t="inlineStr">
        <is>
          <t>하루 리듬·시각(E)</t>
        </is>
      </c>
      <c r="C4" s="6" t="inlineStr">
        <is>
          <t>시작·종료 시각</t>
        </is>
      </c>
      <c r="D4" s="7" t="inlineStr">
        <is>
          <t>마지막 기록 시각</t>
        </is>
      </c>
      <c r="E4" s="6" t="inlineStr">
        <is>
          <t>민성·지유</t>
        </is>
      </c>
      <c r="F4" s="6" t="inlineStr"/>
      <c r="G4" s="6" t="inlineStr">
        <is>
          <t>O</t>
        </is>
      </c>
      <c r="H4" s="6" t="inlineStr">
        <is>
          <t>O</t>
        </is>
      </c>
    </row>
    <row r="5">
      <c r="A5" s="6" t="inlineStr">
        <is>
          <t>n_moving_hours</t>
        </is>
      </c>
      <c r="B5" s="6" t="inlineStr">
        <is>
          <t>시간 사용·항차</t>
        </is>
      </c>
      <c r="C5" s="6" t="inlineStr">
        <is>
          <t>출어 활동량</t>
        </is>
      </c>
      <c r="D5" s="7" t="inlineStr">
        <is>
          <t>이동 시간대 수</t>
        </is>
      </c>
      <c r="E5" s="6" t="inlineStr">
        <is>
          <t>나연</t>
        </is>
      </c>
      <c r="F5" s="6" t="inlineStr"/>
      <c r="G5" s="6" t="inlineStr">
        <is>
          <t>O</t>
        </is>
      </c>
      <c r="H5" s="6" t="inlineStr">
        <is>
          <t>O</t>
        </is>
      </c>
    </row>
    <row r="6">
      <c r="A6" s="6" t="inlineStr">
        <is>
          <t>stationary_ratio</t>
        </is>
      </c>
      <c r="B6" s="6" t="inlineStr">
        <is>
          <t>시간 사용·항차</t>
        </is>
      </c>
      <c r="C6" s="6" t="inlineStr">
        <is>
          <t>상태별 시간 비율</t>
        </is>
      </c>
      <c r="D6" s="7" t="inlineStr">
        <is>
          <t>정박 시간대 비율</t>
        </is>
      </c>
      <c r="E6" s="6" t="inlineStr">
        <is>
          <t>지유</t>
        </is>
      </c>
      <c r="F6" s="6" t="inlineStr"/>
      <c r="G6" s="6" t="inlineStr">
        <is>
          <t>O</t>
        </is>
      </c>
      <c r="H6" s="6" t="inlineStr">
        <is>
          <t>O</t>
        </is>
      </c>
    </row>
    <row r="7">
      <c r="A7" s="6" t="inlineStr">
        <is>
          <t>n_points_day</t>
        </is>
      </c>
      <c r="B7" s="6" t="inlineStr">
        <is>
          <t>품질·기록량</t>
        </is>
      </c>
      <c r="C7" s="6" t="inlineStr">
        <is>
          <t>기록량</t>
        </is>
      </c>
      <c r="D7" s="7" t="inlineStr">
        <is>
          <t>하루 점 수</t>
        </is>
      </c>
      <c r="E7" s="6" t="inlineStr">
        <is>
          <t>나연</t>
        </is>
      </c>
      <c r="F7" s="6" t="inlineStr"/>
      <c r="G7" s="6" t="inlineStr">
        <is>
          <t>O</t>
        </is>
      </c>
      <c r="H7" s="6" t="inlineStr">
        <is>
          <t>O</t>
        </is>
      </c>
    </row>
    <row r="8">
      <c r="A8" s="6" t="inlineStr">
        <is>
          <t>n_segments_mean</t>
        </is>
      </c>
      <c r="B8" s="6" t="inlineStr">
        <is>
          <t>품질·기록량</t>
        </is>
      </c>
      <c r="C8" s="6" t="inlineStr">
        <is>
          <t>기록량</t>
        </is>
      </c>
      <c r="D8" s="7" t="inlineStr">
        <is>
          <t>시간당 평균 구간 수</t>
        </is>
      </c>
      <c r="E8" s="6" t="inlineStr">
        <is>
          <t>나연</t>
        </is>
      </c>
      <c r="F8" s="6" t="inlineStr"/>
      <c r="G8" s="6" t="inlineStr">
        <is>
          <t>O</t>
        </is>
      </c>
      <c r="H8" s="6" t="inlineStr">
        <is>
          <t>O</t>
        </is>
      </c>
    </row>
    <row r="9">
      <c r="A9" s="6" t="inlineStr">
        <is>
          <t>frac_stop_mean</t>
        </is>
      </c>
      <c r="B9" s="6" t="inlineStr">
        <is>
          <t>속도 구조(C)</t>
        </is>
      </c>
      <c r="C9" s="6" t="inlineStr">
        <is>
          <t>속도 구간 비율</t>
        </is>
      </c>
      <c r="D9" s="7" t="inlineStr">
        <is>
          <t>평균 정지 비율</t>
        </is>
      </c>
      <c r="E9" s="6" t="inlineStr">
        <is>
          <t>나연</t>
        </is>
      </c>
      <c r="F9" s="6" t="inlineStr"/>
      <c r="G9" s="6" t="inlineStr">
        <is>
          <t>O</t>
        </is>
      </c>
      <c r="H9" s="6" t="inlineStr">
        <is>
          <t>O</t>
        </is>
      </c>
    </row>
    <row r="10">
      <c r="A10" s="6" t="inlineStr">
        <is>
          <t>n_jumps_day</t>
        </is>
      </c>
      <c r="B10" s="6" t="inlineStr">
        <is>
          <t>품질·기록량</t>
        </is>
      </c>
      <c r="C10" s="6" t="inlineStr">
        <is>
          <t>GPS 튐·정제</t>
        </is>
      </c>
      <c r="D10" s="7" t="inlineStr">
        <is>
          <t>하루 15km 초과 점프 수</t>
        </is>
      </c>
      <c r="E10" s="6" t="inlineStr">
        <is>
          <t>나연</t>
        </is>
      </c>
      <c r="F10" s="6" t="inlineStr"/>
      <c r="G10" s="6" t="inlineStr">
        <is>
          <t>O</t>
        </is>
      </c>
      <c r="H10" s="6" t="inlineStr">
        <is>
          <t>O</t>
        </is>
      </c>
    </row>
    <row r="11">
      <c r="A11" s="6" t="inlineStr">
        <is>
          <t>home_km_max</t>
        </is>
      </c>
      <c r="B11" s="6" t="inlineStr">
        <is>
          <t>이동량·공간범위</t>
        </is>
      </c>
      <c r="C11" s="6" t="inlineStr">
        <is>
          <t>모항·항구 거리</t>
        </is>
      </c>
      <c r="D11" s="7" t="inlineStr">
        <is>
          <t>모항에서 최대 거리(km)</t>
        </is>
      </c>
      <c r="E11" s="6" t="inlineStr">
        <is>
          <t>민성·나연</t>
        </is>
      </c>
      <c r="F11" s="6" t="inlineStr"/>
      <c r="G11" s="6" t="inlineStr">
        <is>
          <t>O</t>
        </is>
      </c>
      <c r="H11" s="6" t="inlineStr">
        <is>
          <t>O</t>
        </is>
      </c>
    </row>
    <row r="12">
      <c r="A12" s="6" t="inlineStr">
        <is>
          <t>home_km_mean</t>
        </is>
      </c>
      <c r="B12" s="6" t="inlineStr">
        <is>
          <t>이동량·공간범위</t>
        </is>
      </c>
      <c r="C12" s="6" t="inlineStr">
        <is>
          <t>모항·항구 거리</t>
        </is>
      </c>
      <c r="D12" s="7" t="inlineStr">
        <is>
          <t>모항에서 평균 거리(km)</t>
        </is>
      </c>
      <c r="E12" s="6" t="inlineStr">
        <is>
          <t>나연</t>
        </is>
      </c>
      <c r="F12" s="6" t="inlineStr"/>
      <c r="G12" s="6" t="inlineStr">
        <is>
          <t>O</t>
        </is>
      </c>
      <c r="H12" s="6" t="inlineStr">
        <is>
          <t>O</t>
        </is>
      </c>
    </row>
    <row r="13">
      <c r="A13" s="6" t="inlineStr">
        <is>
          <t>port_km_mean</t>
        </is>
      </c>
      <c r="B13" s="6" t="inlineStr">
        <is>
          <t>이동량·공간범위</t>
        </is>
      </c>
      <c r="C13" s="6" t="inlineStr">
        <is>
          <t>모항·항구 거리</t>
        </is>
      </c>
      <c r="D13" s="7" t="inlineStr">
        <is>
          <t>최근접 공용항구까지 평균 거리(km)</t>
        </is>
      </c>
      <c r="E13" s="6" t="inlineStr">
        <is>
          <t>나연</t>
        </is>
      </c>
      <c r="F13" s="6" t="inlineStr"/>
      <c r="G13" s="6" t="inlineStr">
        <is>
          <t>O</t>
        </is>
      </c>
      <c r="H13" s="6" t="inlineStr">
        <is>
          <t>O</t>
        </is>
      </c>
    </row>
    <row r="14">
      <c r="A14" s="6" t="inlineStr">
        <is>
          <t>in_port_ratio</t>
        </is>
      </c>
      <c r="B14" s="6" t="inlineStr">
        <is>
          <t>시간 사용·항차</t>
        </is>
      </c>
      <c r="C14" s="6" t="inlineStr">
        <is>
          <t>상태별 시간 비율</t>
        </is>
      </c>
      <c r="D14" s="7" t="inlineStr">
        <is>
          <t>항구 정박 시간 비율</t>
        </is>
      </c>
      <c r="E14" s="6" t="inlineStr">
        <is>
          <t>나연·민성</t>
        </is>
      </c>
      <c r="F14" s="6" t="inlineStr"/>
      <c r="G14" s="6" t="inlineStr">
        <is>
          <t>O</t>
        </is>
      </c>
      <c r="H14" s="6" t="inlineStr">
        <is>
          <t>O</t>
        </is>
      </c>
    </row>
    <row r="15">
      <c r="A15" s="6" t="inlineStr">
        <is>
          <t>sea_stop_share</t>
        </is>
      </c>
      <c r="B15" s="6" t="inlineStr">
        <is>
          <t>시간 사용·항차</t>
        </is>
      </c>
      <c r="C15" s="6" t="inlineStr">
        <is>
          <t>상태별 시간 비율</t>
        </is>
      </c>
      <c r="D15" s="7" t="inlineStr">
        <is>
          <t>해상 정지 시간 비율</t>
        </is>
      </c>
      <c r="E15" s="6" t="inlineStr">
        <is>
          <t>민성</t>
        </is>
      </c>
      <c r="F15" s="6" t="inlineStr"/>
      <c r="G15" s="6" t="inlineStr">
        <is>
          <t>O</t>
        </is>
      </c>
      <c r="H15" s="6" t="inlineStr">
        <is>
          <t>O</t>
        </is>
      </c>
    </row>
    <row r="16">
      <c r="A16" s="6" t="inlineStr">
        <is>
          <t>drift_share</t>
        </is>
      </c>
      <c r="B16" s="6" t="inlineStr">
        <is>
          <t>시간 사용·항차</t>
        </is>
      </c>
      <c r="C16" s="6" t="inlineStr">
        <is>
          <t>상태별 시간 비율</t>
        </is>
      </c>
      <c r="D16" s="7" t="inlineStr">
        <is>
          <t>표류(0.3~2kn) 시간 비율</t>
        </is>
      </c>
      <c r="E16" s="6" t="inlineStr">
        <is>
          <t>민성</t>
        </is>
      </c>
      <c r="F16" s="6" t="inlineStr"/>
      <c r="G16" s="6" t="inlineStr">
        <is>
          <t>O</t>
        </is>
      </c>
      <c r="H16" s="6" t="inlineStr">
        <is>
          <t>O</t>
        </is>
      </c>
    </row>
    <row r="17">
      <c r="A17" s="6" t="inlineStr">
        <is>
          <t>fish_share</t>
        </is>
      </c>
      <c r="B17" s="6" t="inlineStr">
        <is>
          <t>시간 사용·항차</t>
        </is>
      </c>
      <c r="C17" s="6" t="inlineStr">
        <is>
          <t>상태별 시간 비율</t>
        </is>
      </c>
      <c r="D17" s="7" t="inlineStr">
        <is>
          <t>조업속도(2~5kn) 시간 비율</t>
        </is>
      </c>
      <c r="E17" s="6" t="inlineStr">
        <is>
          <t>민성</t>
        </is>
      </c>
      <c r="F17" s="6" t="inlineStr"/>
      <c r="G17" s="6" t="inlineStr">
        <is>
          <t>O</t>
        </is>
      </c>
      <c r="H17" s="6" t="inlineStr">
        <is>
          <t>O</t>
        </is>
      </c>
    </row>
    <row r="18">
      <c r="A18" s="6" t="inlineStr">
        <is>
          <t>transit_share</t>
        </is>
      </c>
      <c r="B18" s="6" t="inlineStr">
        <is>
          <t>시간 사용·항차</t>
        </is>
      </c>
      <c r="C18" s="6" t="inlineStr">
        <is>
          <t>상태별 시간 비율</t>
        </is>
      </c>
      <c r="D18" s="7" t="inlineStr">
        <is>
          <t>항해(&gt;5kn, 직선) 시간 비율</t>
        </is>
      </c>
      <c r="E18" s="6" t="inlineStr">
        <is>
          <t>민성</t>
        </is>
      </c>
      <c r="F18" s="6" t="inlineStr"/>
      <c r="G18" s="6" t="inlineStr">
        <is>
          <t>O</t>
        </is>
      </c>
      <c r="H18" s="6" t="inlineStr">
        <is>
          <t>O</t>
        </is>
      </c>
    </row>
    <row r="19">
      <c r="A19" s="6" t="inlineStr">
        <is>
          <t>n_transitions</t>
        </is>
      </c>
      <c r="B19" s="6" t="inlineStr">
        <is>
          <t>시간 사용·항차</t>
        </is>
      </c>
      <c r="C19" s="6" t="inlineStr">
        <is>
          <t>상태 전환</t>
        </is>
      </c>
      <c r="D19" s="7" t="inlineStr">
        <is>
          <t>시간대 상태 전환 횟수</t>
        </is>
      </c>
      <c r="E19" s="6" t="inlineStr">
        <is>
          <t>민성</t>
        </is>
      </c>
      <c r="F19" s="6" t="inlineStr"/>
      <c r="G19" s="6" t="inlineStr">
        <is>
          <t>O</t>
        </is>
      </c>
      <c r="H19" s="6" t="inlineStr">
        <is>
          <t>O</t>
        </is>
      </c>
    </row>
    <row r="20">
      <c r="A20" s="6" t="inlineStr">
        <is>
          <t>departures</t>
        </is>
      </c>
      <c r="B20" s="6" t="inlineStr">
        <is>
          <t>시간 사용·항차</t>
        </is>
      </c>
      <c r="C20" s="6" t="inlineStr">
        <is>
          <t>항차(출항~귀항)</t>
        </is>
      </c>
      <c r="D20" s="7" t="inlineStr">
        <is>
          <t>출항 횟수 (항구→비항구)</t>
        </is>
      </c>
      <c r="E20" s="6" t="inlineStr">
        <is>
          <t>민성</t>
        </is>
      </c>
      <c r="F20" s="6" t="inlineStr"/>
      <c r="G20" s="6" t="inlineStr">
        <is>
          <t>O</t>
        </is>
      </c>
      <c r="H20" s="6" t="inlineStr">
        <is>
          <t>O</t>
        </is>
      </c>
    </row>
    <row r="21">
      <c r="A21" s="6" t="inlineStr">
        <is>
          <t>inter_hour_jump_med_km</t>
        </is>
      </c>
      <c r="B21" s="6" t="inlineStr">
        <is>
          <t>속도 구조(C)</t>
        </is>
      </c>
      <c r="C21" s="6" t="inlineStr">
        <is>
          <t>시간대 간 점프</t>
        </is>
      </c>
      <c r="D21" s="7" t="inlineStr">
        <is>
          <t>연속 시간대 끝→다음 시작 거리 중앙값(km)</t>
        </is>
      </c>
      <c r="E21" s="6" t="inlineStr">
        <is>
          <t>민성</t>
        </is>
      </c>
      <c r="F21" s="6" t="inlineStr"/>
      <c r="G21" s="6" t="inlineStr">
        <is>
          <t>O</t>
        </is>
      </c>
      <c r="H21" s="6" t="inlineStr">
        <is>
          <t>O</t>
        </is>
      </c>
    </row>
    <row r="22">
      <c r="A22" s="6" t="inlineStr">
        <is>
          <t>active_block_count</t>
        </is>
      </c>
      <c r="B22" s="6" t="inlineStr">
        <is>
          <t>하루 리듬·시각(E)</t>
        </is>
      </c>
      <c r="C22" s="6" t="inlineStr">
        <is>
          <t>이동 블록 구조</t>
        </is>
      </c>
      <c r="D22" s="7" t="inlineStr">
        <is>
          <t>이동 블록 수 (투망·양망 블록)</t>
        </is>
      </c>
      <c r="E22" s="6" t="inlineStr">
        <is>
          <t>가설 E</t>
        </is>
      </c>
      <c r="F22" s="6" t="inlineStr"/>
      <c r="G22" s="6" t="inlineStr">
        <is>
          <t>O</t>
        </is>
      </c>
      <c r="H22" s="6" t="inlineStr">
        <is>
          <t>O</t>
        </is>
      </c>
    </row>
    <row r="23">
      <c r="A23" s="6" t="inlineStr">
        <is>
          <t>night_ratio</t>
        </is>
      </c>
      <c r="B23" s="6" t="inlineStr">
        <is>
          <t>하루 리듬·시각(E)</t>
        </is>
      </c>
      <c r="C23" s="6" t="inlineStr">
        <is>
          <t>시간대 비중</t>
        </is>
      </c>
      <c r="D23" s="7" t="inlineStr">
        <is>
          <t>이동 중 야간(18~06시) 비율</t>
        </is>
      </c>
      <c r="E23" s="6" t="inlineStr">
        <is>
          <t>민성·지유</t>
        </is>
      </c>
      <c r="F23" s="6" t="inlineStr"/>
      <c r="G23" s="6" t="inlineStr">
        <is>
          <t>O</t>
        </is>
      </c>
      <c r="H23" s="6" t="inlineStr">
        <is>
          <t>O</t>
        </is>
      </c>
    </row>
    <row r="24">
      <c r="A24" s="6" t="inlineStr">
        <is>
          <t>mv_share_dawn</t>
        </is>
      </c>
      <c r="B24" s="6" t="inlineStr">
        <is>
          <t>하루 리듬·시각(E)</t>
        </is>
      </c>
      <c r="C24" s="6" t="inlineStr">
        <is>
          <t>시간대 비중</t>
        </is>
      </c>
      <c r="D24" s="7" t="inlineStr">
        <is>
          <t>이동 시간 중 새벽(0~5시) 비중</t>
        </is>
      </c>
      <c r="E24" s="6" t="inlineStr">
        <is>
          <t>나연</t>
        </is>
      </c>
      <c r="F24" s="6" t="inlineStr"/>
      <c r="G24" s="6" t="inlineStr">
        <is>
          <t>O</t>
        </is>
      </c>
      <c r="H24" s="6" t="inlineStr">
        <is>
          <t>O</t>
        </is>
      </c>
    </row>
    <row r="25">
      <c r="A25" s="6" t="inlineStr">
        <is>
          <t>mv_share_morning</t>
        </is>
      </c>
      <c r="B25" s="6" t="inlineStr">
        <is>
          <t>하루 리듬·시각(E)</t>
        </is>
      </c>
      <c r="C25" s="6" t="inlineStr">
        <is>
          <t>시간대 비중</t>
        </is>
      </c>
      <c r="D25" s="7" t="inlineStr">
        <is>
          <t>이동 시간 중 오전(6~11시) 비중</t>
        </is>
      </c>
      <c r="E25" s="6" t="inlineStr">
        <is>
          <t>나연</t>
        </is>
      </c>
      <c r="F25" s="6" t="inlineStr"/>
      <c r="G25" s="6" t="inlineStr">
        <is>
          <t>O</t>
        </is>
      </c>
      <c r="H25" s="6" t="inlineStr">
        <is>
          <t>O</t>
        </is>
      </c>
    </row>
    <row r="26">
      <c r="A26" s="6" t="inlineStr">
        <is>
          <t>mv_share_afternoon</t>
        </is>
      </c>
      <c r="B26" s="6" t="inlineStr">
        <is>
          <t>하루 리듬·시각(E)</t>
        </is>
      </c>
      <c r="C26" s="6" t="inlineStr">
        <is>
          <t>시간대 비중</t>
        </is>
      </c>
      <c r="D26" s="7" t="inlineStr">
        <is>
          <t>이동 시간 중 오후(12~17시) 비중</t>
        </is>
      </c>
      <c r="E26" s="6" t="inlineStr">
        <is>
          <t>나연</t>
        </is>
      </c>
      <c r="F26" s="6" t="inlineStr"/>
      <c r="G26" s="6" t="inlineStr">
        <is>
          <t>O</t>
        </is>
      </c>
      <c r="H26" s="6" t="inlineStr">
        <is>
          <t>O</t>
        </is>
      </c>
    </row>
    <row r="27">
      <c r="A27" s="6" t="inlineStr">
        <is>
          <t>mv_share_night</t>
        </is>
      </c>
      <c r="B27" s="6" t="inlineStr">
        <is>
          <t>하루 리듬·시각(E)</t>
        </is>
      </c>
      <c r="C27" s="6" t="inlineStr">
        <is>
          <t>시간대 비중</t>
        </is>
      </c>
      <c r="D27" s="7" t="inlineStr">
        <is>
          <t>이동 시간 중 밤(18~23시) 비중</t>
        </is>
      </c>
      <c r="E27" s="6" t="inlineStr">
        <is>
          <t>나연</t>
        </is>
      </c>
      <c r="F27" s="6" t="inlineStr"/>
      <c r="G27" s="6" t="inlineStr">
        <is>
          <t>O</t>
        </is>
      </c>
      <c r="H27" s="6" t="inlineStr">
        <is>
          <t>O</t>
        </is>
      </c>
    </row>
    <row r="28">
      <c r="A28" s="6" t="inlineStr">
        <is>
          <t>mv_first_hour</t>
        </is>
      </c>
      <c r="B28" s="6" t="inlineStr">
        <is>
          <t>하루 리듬·시각(E)</t>
        </is>
      </c>
      <c r="C28" s="6" t="inlineStr">
        <is>
          <t>시작·종료 시각</t>
        </is>
      </c>
      <c r="D28" s="7" t="inlineStr">
        <is>
          <t>조업(이동) 시작 시각</t>
        </is>
      </c>
      <c r="E28" s="6" t="inlineStr">
        <is>
          <t>나연</t>
        </is>
      </c>
      <c r="F28" s="6" t="inlineStr"/>
      <c r="G28" s="6" t="inlineStr">
        <is>
          <t>O</t>
        </is>
      </c>
      <c r="H28" s="6" t="inlineStr">
        <is>
          <t>O</t>
        </is>
      </c>
    </row>
    <row r="29">
      <c r="A29" s="6" t="inlineStr">
        <is>
          <t>mv_last_hour</t>
        </is>
      </c>
      <c r="B29" s="6" t="inlineStr">
        <is>
          <t>하루 리듬·시각(E)</t>
        </is>
      </c>
      <c r="C29" s="6" t="inlineStr">
        <is>
          <t>시작·종료 시각</t>
        </is>
      </c>
      <c r="D29" s="7" t="inlineStr">
        <is>
          <t>조업(이동) 종료 시각</t>
        </is>
      </c>
      <c r="E29" s="6" t="inlineStr">
        <is>
          <t>나연</t>
        </is>
      </c>
      <c r="F29" s="6" t="inlineStr"/>
      <c r="G29" s="6" t="inlineStr">
        <is>
          <t>O</t>
        </is>
      </c>
      <c r="H29" s="6" t="inlineStr">
        <is>
          <t>O</t>
        </is>
      </c>
    </row>
    <row r="30">
      <c r="A30" s="6" t="inlineStr">
        <is>
          <t>lon_c</t>
        </is>
      </c>
      <c r="B30" s="6" t="inlineStr">
        <is>
          <t>위치(LOC)</t>
        </is>
      </c>
      <c r="C30" s="6" t="inlineStr">
        <is>
          <t>좌표</t>
        </is>
      </c>
      <c r="D30" s="7" t="inlineStr">
        <is>
          <t>하루 중심 경도</t>
        </is>
      </c>
      <c r="E30" s="6" t="inlineStr">
        <is>
          <t>나연</t>
        </is>
      </c>
      <c r="F30" s="6" t="inlineStr">
        <is>
          <t>O</t>
        </is>
      </c>
      <c r="G30" s="6" t="inlineStr"/>
      <c r="H30" s="6" t="inlineStr">
        <is>
          <t>O</t>
        </is>
      </c>
    </row>
    <row r="31">
      <c r="A31" s="6" t="inlineStr">
        <is>
          <t>lat_c</t>
        </is>
      </c>
      <c r="B31" s="6" t="inlineStr">
        <is>
          <t>위치(LOC)</t>
        </is>
      </c>
      <c r="C31" s="6" t="inlineStr">
        <is>
          <t>좌표</t>
        </is>
      </c>
      <c r="D31" s="7" t="inlineStr">
        <is>
          <t>하루 중심 위도</t>
        </is>
      </c>
      <c r="E31" s="6" t="inlineStr">
        <is>
          <t>나연</t>
        </is>
      </c>
      <c r="F31" s="6" t="inlineStr">
        <is>
          <t>O</t>
        </is>
      </c>
      <c r="G31" s="6" t="inlineStr"/>
      <c r="H31" s="6" t="inlineStr">
        <is>
          <t>O</t>
        </is>
      </c>
    </row>
    <row r="32">
      <c r="A32" s="6" t="inlineStr">
        <is>
          <t>lon_start</t>
        </is>
      </c>
      <c r="B32" s="6" t="inlineStr">
        <is>
          <t>위치(LOC)</t>
        </is>
      </c>
      <c r="C32" s="6" t="inlineStr">
        <is>
          <t>좌표</t>
        </is>
      </c>
      <c r="D32" s="7" t="inlineStr">
        <is>
          <t>하루 시작 경도</t>
        </is>
      </c>
      <c r="E32" s="6" t="inlineStr">
        <is>
          <t>나연</t>
        </is>
      </c>
      <c r="F32" s="6" t="inlineStr">
        <is>
          <t>O</t>
        </is>
      </c>
      <c r="G32" s="6" t="inlineStr"/>
      <c r="H32" s="6" t="inlineStr">
        <is>
          <t>O</t>
        </is>
      </c>
    </row>
    <row r="33">
      <c r="A33" s="6" t="inlineStr">
        <is>
          <t>lat_start</t>
        </is>
      </c>
      <c r="B33" s="6" t="inlineStr">
        <is>
          <t>위치(LOC)</t>
        </is>
      </c>
      <c r="C33" s="6" t="inlineStr">
        <is>
          <t>좌표</t>
        </is>
      </c>
      <c r="D33" s="7" t="inlineStr">
        <is>
          <t>하루 시작 위도</t>
        </is>
      </c>
      <c r="E33" s="6" t="inlineStr">
        <is>
          <t>나연</t>
        </is>
      </c>
      <c r="F33" s="6" t="inlineStr">
        <is>
          <t>O</t>
        </is>
      </c>
      <c r="G33" s="6" t="inlineStr"/>
      <c r="H33" s="6" t="inlineStr">
        <is>
          <t>O</t>
        </is>
      </c>
    </row>
    <row r="34">
      <c r="A34" s="6" t="inlineStr">
        <is>
          <t>lon_end</t>
        </is>
      </c>
      <c r="B34" s="6" t="inlineStr">
        <is>
          <t>위치(LOC)</t>
        </is>
      </c>
      <c r="C34" s="6" t="inlineStr">
        <is>
          <t>좌표</t>
        </is>
      </c>
      <c r="D34" s="7" t="inlineStr">
        <is>
          <t>하루 끝 경도</t>
        </is>
      </c>
      <c r="E34" s="6" t="inlineStr">
        <is>
          <t>나연</t>
        </is>
      </c>
      <c r="F34" s="6" t="inlineStr">
        <is>
          <t>O</t>
        </is>
      </c>
      <c r="G34" s="6" t="inlineStr"/>
      <c r="H34" s="6" t="inlineStr">
        <is>
          <t>O</t>
        </is>
      </c>
    </row>
    <row r="35">
      <c r="A35" s="6" t="inlineStr">
        <is>
          <t>lat_end</t>
        </is>
      </c>
      <c r="B35" s="6" t="inlineStr">
        <is>
          <t>위치(LOC)</t>
        </is>
      </c>
      <c r="C35" s="6" t="inlineStr">
        <is>
          <t>좌표</t>
        </is>
      </c>
      <c r="D35" s="7" t="inlineStr">
        <is>
          <t>하루 끝 위도</t>
        </is>
      </c>
      <c r="E35" s="6" t="inlineStr">
        <is>
          <t>나연</t>
        </is>
      </c>
      <c r="F35" s="6" t="inlineStr">
        <is>
          <t>O</t>
        </is>
      </c>
      <c r="G35" s="6" t="inlineStr"/>
      <c r="H35" s="6" t="inlineStr">
        <is>
          <t>O</t>
        </is>
      </c>
    </row>
    <row r="36">
      <c r="A36" s="6" t="inlineStr">
        <is>
          <t>home_km_start</t>
        </is>
      </c>
      <c r="B36" s="6" t="inlineStr">
        <is>
          <t>이동량·공간범위</t>
        </is>
      </c>
      <c r="C36" s="6" t="inlineStr">
        <is>
          <t>모항·항구 거리</t>
        </is>
      </c>
      <c r="D36" s="7" t="inlineStr">
        <is>
          <t>하루 시작 위치의 모항 거리</t>
        </is>
      </c>
      <c r="E36" s="6" t="inlineStr">
        <is>
          <t>나연</t>
        </is>
      </c>
      <c r="F36" s="6" t="inlineStr"/>
      <c r="G36" s="6" t="inlineStr">
        <is>
          <t>O</t>
        </is>
      </c>
      <c r="H36" s="6" t="inlineStr">
        <is>
          <t>O</t>
        </is>
      </c>
    </row>
    <row r="37">
      <c r="A37" s="6" t="inlineStr">
        <is>
          <t>home_km_end</t>
        </is>
      </c>
      <c r="B37" s="6" t="inlineStr">
        <is>
          <t>이동량·공간범위</t>
        </is>
      </c>
      <c r="C37" s="6" t="inlineStr">
        <is>
          <t>모항·항구 거리</t>
        </is>
      </c>
      <c r="D37" s="7" t="inlineStr">
        <is>
          <t>하루 끝 위치의 모항 거리</t>
        </is>
      </c>
      <c r="E37" s="6" t="inlineStr">
        <is>
          <t>나연</t>
        </is>
      </c>
      <c r="F37" s="6" t="inlineStr"/>
      <c r="G37" s="6" t="inlineStr">
        <is>
          <t>O</t>
        </is>
      </c>
      <c r="H37" s="6" t="inlineStr">
        <is>
          <t>O</t>
        </is>
      </c>
    </row>
    <row r="38">
      <c r="A38" s="6" t="inlineStr">
        <is>
          <t>month</t>
        </is>
      </c>
      <c r="B38" s="6" t="inlineStr">
        <is>
          <t>계절(H)</t>
        </is>
      </c>
      <c r="C38" s="6" t="inlineStr">
        <is>
          <t>월별 출어</t>
        </is>
      </c>
      <c r="D38" s="7" t="inlineStr">
        <is>
          <t>월</t>
        </is>
      </c>
      <c r="E38" s="6" t="inlineStr">
        <is>
          <t>민성</t>
        </is>
      </c>
      <c r="F38" s="6" t="inlineStr"/>
      <c r="G38" s="6" t="inlineStr">
        <is>
          <t>O</t>
        </is>
      </c>
      <c r="H38" s="6" t="inlineStr">
        <is>
          <t>O</t>
        </is>
      </c>
    </row>
    <row r="39">
      <c r="A39" s="6" t="inlineStr">
        <is>
          <t>moving_ratio</t>
        </is>
      </c>
      <c r="B39" s="6" t="inlineStr">
        <is>
          <t>시간 사용·항차</t>
        </is>
      </c>
      <c r="C39" s="6" t="inlineStr">
        <is>
          <t>출어 활동량</t>
        </is>
      </c>
      <c r="D39" s="7" t="inlineStr">
        <is>
          <t>이동 시간대 비율</t>
        </is>
      </c>
      <c r="E39" s="6" t="inlineStr">
        <is>
          <t>나연</t>
        </is>
      </c>
      <c r="F39" s="6" t="inlineStr"/>
      <c r="G39" s="6" t="inlineStr">
        <is>
          <t>O</t>
        </is>
      </c>
      <c r="H39" s="6" t="inlineStr">
        <is>
          <t>O</t>
        </is>
      </c>
    </row>
    <row r="40">
      <c r="A40" s="6" t="inlineStr">
        <is>
          <t>active_span_h</t>
        </is>
      </c>
      <c r="B40" s="6" t="inlineStr">
        <is>
          <t>하루 리듬·시각(E)</t>
        </is>
      </c>
      <c r="C40" s="6" t="inlineStr">
        <is>
          <t>조업 시간 폭</t>
        </is>
      </c>
      <c r="D40" s="7" t="inlineStr">
        <is>
          <t>첫~마지막 기록 시간 폭</t>
        </is>
      </c>
      <c r="E40" s="6" t="inlineStr">
        <is>
          <t>나연</t>
        </is>
      </c>
      <c r="F40" s="6" t="inlineStr"/>
      <c r="G40" s="6" t="inlineStr">
        <is>
          <t>O</t>
        </is>
      </c>
      <c r="H40" s="6" t="inlineStr">
        <is>
          <t>O</t>
        </is>
      </c>
    </row>
    <row r="41">
      <c r="A41" s="6" t="inlineStr">
        <is>
          <t>mv_span_h</t>
        </is>
      </c>
      <c r="B41" s="6" t="inlineStr">
        <is>
          <t>하루 리듬·시각(E)</t>
        </is>
      </c>
      <c r="C41" s="6" t="inlineStr">
        <is>
          <t>조업 시간 폭</t>
        </is>
      </c>
      <c r="D41" s="7" t="inlineStr">
        <is>
          <t>조업 시간 폭 (첫~마지막 이동)</t>
        </is>
      </c>
      <c r="E41" s="6" t="inlineStr">
        <is>
          <t>나연·민성</t>
        </is>
      </c>
      <c r="F41" s="6" t="inlineStr"/>
      <c r="G41" s="6" t="inlineStr">
        <is>
          <t>O</t>
        </is>
      </c>
      <c r="H41" s="6" t="inlineStr">
        <is>
          <t>O</t>
        </is>
      </c>
    </row>
    <row r="42">
      <c r="A42" s="6" t="inlineStr">
        <is>
          <t>dist_day_km</t>
        </is>
      </c>
      <c r="B42" s="6" t="inlineStr">
        <is>
          <t>이동량·공간범위</t>
        </is>
      </c>
      <c r="C42" s="6" t="inlineStr">
        <is>
          <t>이동거리</t>
        </is>
      </c>
      <c r="D42" s="7" t="inlineStr">
        <is>
          <t>하루 평활 이동거리(km)</t>
        </is>
      </c>
      <c r="E42" s="6" t="inlineStr">
        <is>
          <t>나연·지유</t>
        </is>
      </c>
      <c r="F42" s="6" t="inlineStr"/>
      <c r="G42" s="6" t="inlineStr">
        <is>
          <t>O</t>
        </is>
      </c>
      <c r="H42" s="6" t="inlineStr">
        <is>
          <t>O</t>
        </is>
      </c>
    </row>
    <row r="43">
      <c r="A43" s="6" t="inlineStr">
        <is>
          <t>dist_raw_day_km</t>
        </is>
      </c>
      <c r="B43" s="6" t="inlineStr">
        <is>
          <t>이동량·공간범위</t>
        </is>
      </c>
      <c r="C43" s="6" t="inlineStr">
        <is>
          <t>이동거리</t>
        </is>
      </c>
      <c r="D43" s="7" t="inlineStr">
        <is>
          <t>하루 원거리(km)</t>
        </is>
      </c>
      <c r="E43" s="6" t="inlineStr">
        <is>
          <t>나연</t>
        </is>
      </c>
      <c r="F43" s="6" t="inlineStr"/>
      <c r="G43" s="6" t="inlineStr">
        <is>
          <t>O</t>
        </is>
      </c>
      <c r="H43" s="6" t="inlineStr">
        <is>
          <t>O</t>
        </is>
      </c>
    </row>
    <row r="44">
      <c r="A44" s="6" t="inlineStr">
        <is>
          <t>jump_share_day</t>
        </is>
      </c>
      <c r="B44" s="6" t="inlineStr">
        <is>
          <t>품질·기록량</t>
        </is>
      </c>
      <c r="C44" s="6" t="inlineStr">
        <is>
          <t>GPS 튐·정제</t>
        </is>
      </c>
      <c r="D44" s="7" t="inlineStr">
        <is>
          <t>튐 비중 = 1 − 평활/원거리</t>
        </is>
      </c>
      <c r="E44" s="6" t="inlineStr">
        <is>
          <t>나연</t>
        </is>
      </c>
      <c r="F44" s="6" t="inlineStr"/>
      <c r="G44" s="6" t="inlineStr">
        <is>
          <t>O</t>
        </is>
      </c>
      <c r="H44" s="6" t="inlineStr">
        <is>
          <t>O</t>
        </is>
      </c>
    </row>
    <row r="45">
      <c r="A45" s="6" t="inlineStr">
        <is>
          <t>day_net_disp_km</t>
        </is>
      </c>
      <c r="B45" s="6" t="inlineStr">
        <is>
          <t>이동량·공간범위</t>
        </is>
      </c>
      <c r="C45" s="6" t="inlineStr">
        <is>
          <t>변위·이격</t>
        </is>
      </c>
      <c r="D45" s="7" t="inlineStr">
        <is>
          <t>하루 시작→끝 변위(km)</t>
        </is>
      </c>
      <c r="E45" s="6" t="inlineStr">
        <is>
          <t>나연</t>
        </is>
      </c>
      <c r="F45" s="6" t="inlineStr"/>
      <c r="G45" s="6" t="inlineStr">
        <is>
          <t>O</t>
        </is>
      </c>
      <c r="H45" s="6" t="inlineStr">
        <is>
          <t>O</t>
        </is>
      </c>
    </row>
    <row r="46">
      <c r="A46" s="6" t="inlineStr">
        <is>
          <t>day_straightness</t>
        </is>
      </c>
      <c r="B46" s="6" t="inlineStr">
        <is>
          <t>경로형태·직선투망(B)</t>
        </is>
      </c>
      <c r="C46" s="6" t="inlineStr">
        <is>
          <t>직진도·구불거림</t>
        </is>
      </c>
      <c r="D46" s="7" t="inlineStr">
        <is>
          <t>하루 직진도 = 변위/거리</t>
        </is>
      </c>
      <c r="E46" s="6" t="inlineStr">
        <is>
          <t>가설 B</t>
        </is>
      </c>
      <c r="F46" s="6" t="inlineStr"/>
      <c r="G46" s="6" t="inlineStr">
        <is>
          <t>O</t>
        </is>
      </c>
      <c r="H46" s="6" t="inlineStr">
        <is>
          <t>O</t>
        </is>
      </c>
    </row>
    <row r="47">
      <c r="A47" s="6" t="inlineStr">
        <is>
          <t>returned_to_port</t>
        </is>
      </c>
      <c r="B47" s="6" t="inlineStr">
        <is>
          <t>시간 사용·항차</t>
        </is>
      </c>
      <c r="C47" s="6" t="inlineStr">
        <is>
          <t>항차(출항~귀항)</t>
        </is>
      </c>
      <c r="D47" s="7" t="inlineStr">
        <is>
          <t>귀항 여부</t>
        </is>
      </c>
      <c r="E47" s="6" t="inlineStr">
        <is>
          <t>나연</t>
        </is>
      </c>
      <c r="F47" s="6" t="inlineStr"/>
      <c r="G47" s="6" t="inlineStr">
        <is>
          <t>O</t>
        </is>
      </c>
      <c r="H47" s="6" t="inlineStr">
        <is>
          <t>O</t>
        </is>
      </c>
    </row>
    <row r="48">
      <c r="A48" s="6" t="inlineStr">
        <is>
          <t>day_rg_km</t>
        </is>
      </c>
      <c r="B48" s="6" t="inlineStr">
        <is>
          <t>이동량·공간범위</t>
        </is>
      </c>
      <c r="C48" s="6" t="inlineStr">
        <is>
          <t>활동 범위(하루)</t>
        </is>
      </c>
      <c r="D48" s="7" t="inlineStr">
        <is>
          <t>시간대 중심들의 퍼짐(km)</t>
        </is>
      </c>
      <c r="E48" s="6" t="inlineStr">
        <is>
          <t>나연</t>
        </is>
      </c>
      <c r="F48" s="6" t="inlineStr"/>
      <c r="G48" s="6" t="inlineStr">
        <is>
          <t>O</t>
        </is>
      </c>
      <c r="H48" s="6" t="inlineStr">
        <is>
          <t>O</t>
        </is>
      </c>
    </row>
    <row r="49">
      <c r="A49" s="6" t="inlineStr">
        <is>
          <t>day_bbox_diag_km</t>
        </is>
      </c>
      <c r="B49" s="6" t="inlineStr">
        <is>
          <t>이동량·공간범위</t>
        </is>
      </c>
      <c r="C49" s="6" t="inlineStr">
        <is>
          <t>활동 범위(하루)</t>
        </is>
      </c>
      <c r="D49" s="7" t="inlineStr">
        <is>
          <t>하루 활동범위 대각선(km)</t>
        </is>
      </c>
      <c r="E49" s="6" t="inlineStr">
        <is>
          <t>나연</t>
        </is>
      </c>
      <c r="F49" s="6" t="inlineStr"/>
      <c r="G49" s="6" t="inlineStr">
        <is>
          <t>O</t>
        </is>
      </c>
      <c r="H49" s="6" t="inlineStr">
        <is>
          <t>O</t>
        </is>
      </c>
    </row>
    <row r="50">
      <c r="A50" s="6" t="inlineStr">
        <is>
          <t>day_range_q95_km</t>
        </is>
      </c>
      <c r="B50" s="6" t="inlineStr">
        <is>
          <t>이동량·공간범위</t>
        </is>
      </c>
      <c r="C50" s="6" t="inlineStr">
        <is>
          <t>변위·이격</t>
        </is>
      </c>
      <c r="D50" s="7" t="inlineStr">
        <is>
          <t>첫 위치에서 95% 분위 이격(km, 지터 강건 day_range)</t>
        </is>
      </c>
      <c r="E50" s="6" t="inlineStr">
        <is>
          <t>민성</t>
        </is>
      </c>
      <c r="F50" s="6" t="inlineStr"/>
      <c r="G50" s="6" t="inlineStr">
        <is>
          <t>O</t>
        </is>
      </c>
      <c r="H50" s="6" t="inlineStr">
        <is>
          <t>O</t>
        </is>
      </c>
    </row>
    <row r="51">
      <c r="A51" s="6" t="inlineStr">
        <is>
          <t>longest_streak</t>
        </is>
      </c>
      <c r="B51" s="6" t="inlineStr">
        <is>
          <t>하루 리듬·시각(E)</t>
        </is>
      </c>
      <c r="C51" s="6" t="inlineStr">
        <is>
          <t>이동 블록 구조</t>
        </is>
      </c>
      <c r="D51" s="7" t="inlineStr">
        <is>
          <t>최장 연속 이동 시간 수</t>
        </is>
      </c>
      <c r="E51" s="6" t="inlineStr">
        <is>
          <t>민성·가설 E</t>
        </is>
      </c>
      <c r="F51" s="6" t="inlineStr"/>
      <c r="G51" s="6" t="inlineStr">
        <is>
          <t>O</t>
        </is>
      </c>
      <c r="H51" s="6" t="inlineStr">
        <is>
          <t>O</t>
        </is>
      </c>
    </row>
    <row r="52">
      <c r="A52" s="6" t="inlineStr">
        <is>
          <t>max_block_gap_h</t>
        </is>
      </c>
      <c r="B52" s="6" t="inlineStr">
        <is>
          <t>하루 리듬·시각(E)</t>
        </is>
      </c>
      <c r="C52" s="6" t="inlineStr">
        <is>
          <t>이동 블록 구조</t>
        </is>
      </c>
      <c r="D52" s="7" t="inlineStr">
        <is>
          <t>이동 블록 사이 최대 휴식(시간)</t>
        </is>
      </c>
      <c r="E52" s="6" t="inlineStr">
        <is>
          <t>가설 E</t>
        </is>
      </c>
      <c r="F52" s="6" t="inlineStr"/>
      <c r="G52" s="6" t="inlineStr">
        <is>
          <t>O</t>
        </is>
      </c>
      <c r="H52" s="6" t="inlineStr">
        <is>
          <t>O</t>
        </is>
      </c>
    </row>
    <row r="53">
      <c r="A53" s="6" t="inlineStr">
        <is>
          <t>mv_sp_mean</t>
        </is>
      </c>
      <c r="B53" s="6" t="inlineStr">
        <is>
          <t>속도 구조(C)</t>
        </is>
      </c>
      <c r="C53" s="6" t="inlineStr">
        <is>
          <t>10분 구간 속도</t>
        </is>
      </c>
      <c r="D53" s="7" t="inlineStr">
        <is>
          <t>그날 이동 시간대 평균: 10분 구간 추정속도 평균(kn)</t>
        </is>
      </c>
      <c r="E53" s="6" t="inlineStr">
        <is>
          <t>나연·진우</t>
        </is>
      </c>
      <c r="F53" s="6" t="inlineStr"/>
      <c r="G53" s="6" t="inlineStr">
        <is>
          <t>O</t>
        </is>
      </c>
      <c r="H53" s="6" t="inlineStr">
        <is>
          <t>O</t>
        </is>
      </c>
    </row>
    <row r="54">
      <c r="A54" s="6" t="inlineStr">
        <is>
          <t>mv_sp_p90</t>
        </is>
      </c>
      <c r="B54" s="6" t="inlineStr">
        <is>
          <t>속도 구조(C)</t>
        </is>
      </c>
      <c r="C54" s="6" t="inlineStr">
        <is>
          <t>10분 구간 속도</t>
        </is>
      </c>
      <c r="D54" s="7" t="inlineStr">
        <is>
          <t>그날 이동 시간대 평균: 10분 속도 90% 분위</t>
        </is>
      </c>
      <c r="E54" s="6" t="inlineStr">
        <is>
          <t>나연</t>
        </is>
      </c>
      <c r="F54" s="6" t="inlineStr"/>
      <c r="G54" s="6" t="inlineStr">
        <is>
          <t>O</t>
        </is>
      </c>
      <c r="H54" s="6" t="inlineStr">
        <is>
          <t>O</t>
        </is>
      </c>
    </row>
    <row r="55">
      <c r="A55" s="6" t="inlineStr">
        <is>
          <t>mv_sp_std</t>
        </is>
      </c>
      <c r="B55" s="6" t="inlineStr">
        <is>
          <t>속도 구조(C)</t>
        </is>
      </c>
      <c r="C55" s="6" t="inlineStr">
        <is>
          <t>10분 구간 속도</t>
        </is>
      </c>
      <c r="D55" s="7" t="inlineStr">
        <is>
          <t>그날 이동 시간대 평균: 10분 속도 표준편차</t>
        </is>
      </c>
      <c r="E55" s="6" t="inlineStr">
        <is>
          <t>나연</t>
        </is>
      </c>
      <c r="F55" s="6" t="inlineStr"/>
      <c r="G55" s="6" t="inlineStr">
        <is>
          <t>O</t>
        </is>
      </c>
      <c r="H55" s="6" t="inlineStr">
        <is>
          <t>O</t>
        </is>
      </c>
    </row>
    <row r="56">
      <c r="A56" s="6" t="inlineStr">
        <is>
          <t>mv_sp_change_mean</t>
        </is>
      </c>
      <c r="B56" s="6" t="inlineStr">
        <is>
          <t>속도 구조(C)</t>
        </is>
      </c>
      <c r="C56" s="6" t="inlineStr">
        <is>
          <t>10분 구간 속도</t>
        </is>
      </c>
      <c r="D56" s="7" t="inlineStr">
        <is>
          <t>그날 이동 시간대 평균: 10분 속도 변화량 평균(가감속)</t>
        </is>
      </c>
      <c r="E56" s="6" t="inlineStr">
        <is>
          <t>나연</t>
        </is>
      </c>
      <c r="F56" s="6" t="inlineStr"/>
      <c r="G56" s="6" t="inlineStr">
        <is>
          <t>O</t>
        </is>
      </c>
      <c r="H56" s="6" t="inlineStr">
        <is>
          <t>O</t>
        </is>
      </c>
    </row>
    <row r="57">
      <c r="A57" s="6" t="inlineStr">
        <is>
          <t>mv_frac_slow</t>
        </is>
      </c>
      <c r="B57" s="6" t="inlineStr">
        <is>
          <t>속도 구조(C)</t>
        </is>
      </c>
      <c r="C57" s="6" t="inlineStr">
        <is>
          <t>속도 구간 비율</t>
        </is>
      </c>
      <c r="D57" s="7" t="inlineStr">
        <is>
          <t>그날 이동 시간대 평균: 저속(0.5~3kn) 구간 비율</t>
        </is>
      </c>
      <c r="E57" s="6" t="inlineStr">
        <is>
          <t>나연</t>
        </is>
      </c>
      <c r="F57" s="6" t="inlineStr"/>
      <c r="G57" s="6" t="inlineStr">
        <is>
          <t>O</t>
        </is>
      </c>
      <c r="H57" s="6" t="inlineStr">
        <is>
          <t>O</t>
        </is>
      </c>
    </row>
    <row r="58">
      <c r="A58" s="6" t="inlineStr">
        <is>
          <t>mv_frac_mid</t>
        </is>
      </c>
      <c r="B58" s="6" t="inlineStr">
        <is>
          <t>속도 구조(C)</t>
        </is>
      </c>
      <c r="C58" s="6" t="inlineStr">
        <is>
          <t>속도 구간 비율</t>
        </is>
      </c>
      <c r="D58" s="7" t="inlineStr">
        <is>
          <t>그날 이동 시간대 평균: 중속(3~6kn) 구간 비율</t>
        </is>
      </c>
      <c r="E58" s="6" t="inlineStr">
        <is>
          <t>나연</t>
        </is>
      </c>
      <c r="F58" s="6" t="inlineStr"/>
      <c r="G58" s="6" t="inlineStr">
        <is>
          <t>O</t>
        </is>
      </c>
      <c r="H58" s="6" t="inlineStr">
        <is>
          <t>O</t>
        </is>
      </c>
    </row>
    <row r="59">
      <c r="A59" s="6" t="inlineStr">
        <is>
          <t>mv_frac_fast</t>
        </is>
      </c>
      <c r="B59" s="6" t="inlineStr">
        <is>
          <t>속도 구조(C)</t>
        </is>
      </c>
      <c r="C59" s="6" t="inlineStr">
        <is>
          <t>속도 구간 비율</t>
        </is>
      </c>
      <c r="D59" s="7" t="inlineStr">
        <is>
          <t>그날 이동 시간대 평균: 고속(&gt;6kn) 구간 비율</t>
        </is>
      </c>
      <c r="E59" s="6" t="inlineStr">
        <is>
          <t>나연</t>
        </is>
      </c>
      <c r="F59" s="6" t="inlineStr"/>
      <c r="G59" s="6" t="inlineStr">
        <is>
          <t>O</t>
        </is>
      </c>
      <c r="H59" s="6" t="inlineStr">
        <is>
          <t>O</t>
        </is>
      </c>
    </row>
    <row r="60">
      <c r="A60" s="6" t="inlineStr">
        <is>
          <t>mv_heading_R</t>
        </is>
      </c>
      <c r="B60" s="6" t="inlineStr">
        <is>
          <t>방향·회전(D)</t>
        </is>
      </c>
      <c r="C60" s="6" t="inlineStr">
        <is>
          <t>방향 일관성</t>
        </is>
      </c>
      <c r="D60" s="7" t="inlineStr">
        <is>
          <t>그날 이동 시간대 평균: 방향 일관성 (1=한 방향, 0=사방)</t>
        </is>
      </c>
      <c r="E60" s="6" t="inlineStr">
        <is>
          <t>진우·나연·민성</t>
        </is>
      </c>
      <c r="F60" s="6" t="inlineStr"/>
      <c r="G60" s="6" t="inlineStr">
        <is>
          <t>O</t>
        </is>
      </c>
      <c r="H60" s="6" t="inlineStr">
        <is>
          <t>O</t>
        </is>
      </c>
    </row>
    <row r="61">
      <c r="A61" s="6" t="inlineStr">
        <is>
          <t>mv_bearing_std</t>
        </is>
      </c>
      <c r="B61" s="6" t="inlineStr">
        <is>
          <t>방향·회전(D)</t>
        </is>
      </c>
      <c r="C61" s="6" t="inlineStr">
        <is>
          <t>방향 일관성</t>
        </is>
      </c>
      <c r="D61" s="7" t="inlineStr">
        <is>
          <t>그날 이동 시간대 평균: 진행방향 원형 표준편차(°)</t>
        </is>
      </c>
      <c r="E61" s="6" t="inlineStr">
        <is>
          <t>지유</t>
        </is>
      </c>
      <c r="F61" s="6" t="inlineStr"/>
      <c r="G61" s="6" t="inlineStr">
        <is>
          <t>O</t>
        </is>
      </c>
      <c r="H61" s="6" t="inlineStr">
        <is>
          <t>O</t>
        </is>
      </c>
    </row>
    <row r="62">
      <c r="A62" s="6" t="inlineStr">
        <is>
          <t>mv_turn_mean</t>
        </is>
      </c>
      <c r="B62" s="6" t="inlineStr">
        <is>
          <t>방향·회전(D)</t>
        </is>
      </c>
      <c r="C62" s="6" t="inlineStr">
        <is>
          <t>회전각</t>
        </is>
      </c>
      <c r="D62" s="7" t="inlineStr">
        <is>
          <t>그날 이동 시간대 평균: 회전각 평균(°)</t>
        </is>
      </c>
      <c r="E62" s="6" t="inlineStr">
        <is>
          <t>공통</t>
        </is>
      </c>
      <c r="F62" s="6" t="inlineStr"/>
      <c r="G62" s="6" t="inlineStr">
        <is>
          <t>O</t>
        </is>
      </c>
      <c r="H62" s="6" t="inlineStr">
        <is>
          <t>O</t>
        </is>
      </c>
    </row>
    <row r="63">
      <c r="A63" s="6" t="inlineStr">
        <is>
          <t>mv_turn_std</t>
        </is>
      </c>
      <c r="B63" s="6" t="inlineStr">
        <is>
          <t>방향·회전(D)</t>
        </is>
      </c>
      <c r="C63" s="6" t="inlineStr">
        <is>
          <t>회전각</t>
        </is>
      </c>
      <c r="D63" s="7" t="inlineStr">
        <is>
          <t>그날 이동 시간대 평균: 회전각 표준편차</t>
        </is>
      </c>
      <c r="E63" s="6" t="inlineStr">
        <is>
          <t>공통</t>
        </is>
      </c>
      <c r="F63" s="6" t="inlineStr"/>
      <c r="G63" s="6" t="inlineStr">
        <is>
          <t>O</t>
        </is>
      </c>
      <c r="H63" s="6" t="inlineStr">
        <is>
          <t>O</t>
        </is>
      </c>
    </row>
    <row r="64">
      <c r="A64" s="6" t="inlineStr">
        <is>
          <t>mv_uturn_ratio</t>
        </is>
      </c>
      <c r="B64" s="6" t="inlineStr">
        <is>
          <t>방향·회전(D)</t>
        </is>
      </c>
      <c r="C64" s="6" t="inlineStr">
        <is>
          <t>급선회·U턴</t>
        </is>
      </c>
      <c r="D64" s="7" t="inlineStr">
        <is>
          <t>그날 이동 시간대 평균: U턴 비율</t>
        </is>
      </c>
      <c r="E64" s="6" t="inlineStr">
        <is>
          <t>나연</t>
        </is>
      </c>
      <c r="F64" s="6" t="inlineStr"/>
      <c r="G64" s="6" t="inlineStr">
        <is>
          <t>O</t>
        </is>
      </c>
      <c r="H64" s="6" t="inlineStr">
        <is>
          <t>O</t>
        </is>
      </c>
    </row>
    <row r="65">
      <c r="A65" s="6" t="inlineStr">
        <is>
          <t>mv_turn90_per_km</t>
        </is>
      </c>
      <c r="B65" s="6" t="inlineStr">
        <is>
          <t>방향·회전(D)</t>
        </is>
      </c>
      <c r="C65" s="6" t="inlineStr">
        <is>
          <t>급선회·U턴</t>
        </is>
      </c>
      <c r="D65" s="7" t="inlineStr">
        <is>
          <t>그날 이동 시간대 평균: km당 90° 초과 회전 수</t>
        </is>
      </c>
      <c r="E65" s="6" t="inlineStr">
        <is>
          <t>나연</t>
        </is>
      </c>
      <c r="F65" s="6" t="inlineStr"/>
      <c r="G65" s="6" t="inlineStr">
        <is>
          <t>O</t>
        </is>
      </c>
      <c r="H65" s="6" t="inlineStr">
        <is>
          <t>O</t>
        </is>
      </c>
    </row>
    <row r="66">
      <c r="A66" s="6" t="inlineStr">
        <is>
          <t>mv_large_turn_ratio</t>
        </is>
      </c>
      <c r="B66" s="6" t="inlineStr">
        <is>
          <t>방향·회전(D)</t>
        </is>
      </c>
      <c r="C66" s="6" t="inlineStr">
        <is>
          <t>급선회·U턴</t>
        </is>
      </c>
      <c r="D66" s="7" t="inlineStr">
        <is>
          <t>그날 이동 시간대 평균: 60° 초과 급선회 비율</t>
        </is>
      </c>
      <c r="E66" s="6" t="inlineStr">
        <is>
          <t>지유·민성·진우</t>
        </is>
      </c>
      <c r="F66" s="6" t="inlineStr"/>
      <c r="G66" s="6" t="inlineStr">
        <is>
          <t>O</t>
        </is>
      </c>
      <c r="H66" s="6" t="inlineStr">
        <is>
          <t>O</t>
        </is>
      </c>
    </row>
    <row r="67">
      <c r="A67" s="6" t="inlineStr">
        <is>
          <t>mv_loops</t>
        </is>
      </c>
      <c r="B67" s="6" t="inlineStr">
        <is>
          <t>방향·회전(D)</t>
        </is>
      </c>
      <c r="C67" s="6" t="inlineStr">
        <is>
          <t>루프</t>
        </is>
      </c>
      <c r="D67" s="7" t="inlineStr">
        <is>
          <t>그날 이동 시간대 평균: 누적 회전/360 = 제자리 맴돈 루프 수</t>
        </is>
      </c>
      <c r="E67" s="6" t="inlineStr">
        <is>
          <t>가설 D</t>
        </is>
      </c>
      <c r="F67" s="6" t="inlineStr"/>
      <c r="G67" s="6" t="inlineStr">
        <is>
          <t>O</t>
        </is>
      </c>
      <c r="H67" s="6" t="inlineStr">
        <is>
          <t>O</t>
        </is>
      </c>
    </row>
    <row r="68">
      <c r="A68" s="6" t="inlineStr">
        <is>
          <t>mv_straightness</t>
        </is>
      </c>
      <c r="B68" s="6" t="inlineStr">
        <is>
          <t>경로형태·직선투망(B)</t>
        </is>
      </c>
      <c r="C68" s="6" t="inlineStr">
        <is>
          <t>직진도·구불거림</t>
        </is>
      </c>
      <c r="D68" s="7" t="inlineStr">
        <is>
          <t>그날 이동 시간대 평균: 직진도 = 변위/거리 (0~1, 1=일직선)</t>
        </is>
      </c>
      <c r="E68" s="6" t="inlineStr">
        <is>
          <t>공통</t>
        </is>
      </c>
      <c r="F68" s="6" t="inlineStr"/>
      <c r="G68" s="6" t="inlineStr">
        <is>
          <t>O</t>
        </is>
      </c>
      <c r="H68" s="6" t="inlineStr">
        <is>
          <t>O</t>
        </is>
      </c>
    </row>
    <row r="69">
      <c r="A69" s="6" t="inlineStr">
        <is>
          <t>mv_path_over_rg</t>
        </is>
      </c>
      <c r="B69" s="6" t="inlineStr">
        <is>
          <t>경로형태·직선투망(B)</t>
        </is>
      </c>
      <c r="C69" s="6" t="inlineStr">
        <is>
          <t>경로 반복도</t>
        </is>
      </c>
      <c r="D69" s="7" t="inlineStr">
        <is>
          <t>그날 이동 시간대 평균: 경로길이/회전반경</t>
        </is>
      </c>
      <c r="E69" s="6" t="inlineStr">
        <is>
          <t>나연</t>
        </is>
      </c>
      <c r="F69" s="6" t="inlineStr"/>
      <c r="G69" s="6" t="inlineStr">
        <is>
          <t>O</t>
        </is>
      </c>
      <c r="H69" s="6" t="inlineStr">
        <is>
          <t>O</t>
        </is>
      </c>
    </row>
    <row r="70">
      <c r="A70" s="6" t="inlineStr">
        <is>
          <t>mv_path_over_diag</t>
        </is>
      </c>
      <c r="B70" s="6" t="inlineStr">
        <is>
          <t>경로형태·직선투망(B)</t>
        </is>
      </c>
      <c r="C70" s="6" t="inlineStr">
        <is>
          <t>경로 반복도</t>
        </is>
      </c>
      <c r="D70" s="7" t="inlineStr">
        <is>
          <t>그날 이동 시간대 평균: 경로길이/범위 대각선: 같은 곳을 반복할수록 큼</t>
        </is>
      </c>
      <c r="E70" s="6" t="inlineStr">
        <is>
          <t>나연</t>
        </is>
      </c>
      <c r="F70" s="6" t="inlineStr"/>
      <c r="G70" s="6" t="inlineStr">
        <is>
          <t>O</t>
        </is>
      </c>
      <c r="H70" s="6" t="inlineStr">
        <is>
          <t>O</t>
        </is>
      </c>
    </row>
    <row r="71">
      <c r="A71" s="6" t="inlineStr">
        <is>
          <t>mv_n_stop_move_switch</t>
        </is>
      </c>
      <c r="B71" s="6" t="inlineStr">
        <is>
          <t>시간 사용·항차</t>
        </is>
      </c>
      <c r="C71" s="6" t="inlineStr">
        <is>
          <t>상태 전환</t>
        </is>
      </c>
      <c r="D71" s="7" t="inlineStr">
        <is>
          <t>그날 이동 시간대 평균: 정지↔이동 전환 횟수</t>
        </is>
      </c>
      <c r="E71" s="6" t="inlineStr">
        <is>
          <t>나연</t>
        </is>
      </c>
      <c r="F71" s="6" t="inlineStr"/>
      <c r="G71" s="6" t="inlineStr">
        <is>
          <t>O</t>
        </is>
      </c>
      <c r="H71" s="6" t="inlineStr">
        <is>
          <t>O</t>
        </is>
      </c>
    </row>
    <row r="72">
      <c r="A72" s="6" t="inlineStr">
        <is>
          <t>mv_rg_m</t>
        </is>
      </c>
      <c r="B72" s="6" t="inlineStr">
        <is>
          <t>이동량·공간범위</t>
        </is>
      </c>
      <c r="C72" s="6" t="inlineStr">
        <is>
          <t>활동 범위(1시간)</t>
        </is>
      </c>
      <c r="D72" s="7" t="inlineStr">
        <is>
          <t>그날 이동 시간대 평균: 회전반경: 중심에서 퍼진 정도(m)</t>
        </is>
      </c>
      <c r="E72" s="6" t="inlineStr">
        <is>
          <t>민성·나연·진우</t>
        </is>
      </c>
      <c r="F72" s="6" t="inlineStr"/>
      <c r="G72" s="6" t="inlineStr">
        <is>
          <t>O</t>
        </is>
      </c>
      <c r="H72" s="6" t="inlineStr">
        <is>
          <t>O</t>
        </is>
      </c>
    </row>
    <row r="73">
      <c r="A73" s="6" t="inlineStr">
        <is>
          <t>mv_rg_med_m</t>
        </is>
      </c>
      <c r="B73" s="6" t="inlineStr">
        <is>
          <t>이동량·공간범위</t>
        </is>
      </c>
      <c r="C73" s="6" t="inlineStr">
        <is>
          <t>활동 범위(1시간)</t>
        </is>
      </c>
      <c r="D73" s="7" t="inlineStr">
        <is>
          <t>그날 이동 시간대 평균: 중앙 반경: 중앙점까지 거리의 중앙값(m, 지터 강건)</t>
        </is>
      </c>
      <c r="E73" s="6" t="inlineStr">
        <is>
          <t>민성</t>
        </is>
      </c>
      <c r="F73" s="6" t="inlineStr"/>
      <c r="G73" s="6" t="inlineStr">
        <is>
          <t>O</t>
        </is>
      </c>
      <c r="H73" s="6" t="inlineStr">
        <is>
          <t>O</t>
        </is>
      </c>
    </row>
    <row r="74">
      <c r="A74" s="6" t="inlineStr">
        <is>
          <t>mv_bbox_diag_m</t>
        </is>
      </c>
      <c r="B74" s="6" t="inlineStr">
        <is>
          <t>이동량·공간범위</t>
        </is>
      </c>
      <c r="C74" s="6" t="inlineStr">
        <is>
          <t>활동 범위(1시간)</t>
        </is>
      </c>
      <c r="D74" s="7" t="inlineStr">
        <is>
          <t>그날 이동 시간대 평균: 활동 사각형 대각선(m)</t>
        </is>
      </c>
      <c r="E74" s="6" t="inlineStr">
        <is>
          <t>나연</t>
        </is>
      </c>
      <c r="F74" s="6" t="inlineStr"/>
      <c r="G74" s="6" t="inlineStr">
        <is>
          <t>O</t>
        </is>
      </c>
      <c r="H74" s="6" t="inlineStr">
        <is>
          <t>O</t>
        </is>
      </c>
    </row>
    <row r="75">
      <c r="A75" s="6" t="inlineStr">
        <is>
          <t>mv_bbox_aspect</t>
        </is>
      </c>
      <c r="B75" s="6" t="inlineStr">
        <is>
          <t>경로형태·직선투망(B)</t>
        </is>
      </c>
      <c r="C75" s="6" t="inlineStr">
        <is>
          <t>직선 투망 형상</t>
        </is>
      </c>
      <c r="D75" s="7" t="inlineStr">
        <is>
          <t>그날 이동 시간대 평균: 활동 사각형 가로세로비: 길쭉할수록 큼</t>
        </is>
      </c>
      <c r="E75" s="6" t="inlineStr">
        <is>
          <t>나연</t>
        </is>
      </c>
      <c r="F75" s="6" t="inlineStr"/>
      <c r="G75" s="6" t="inlineStr">
        <is>
          <t>O</t>
        </is>
      </c>
      <c r="H75" s="6" t="inlineStr">
        <is>
          <t>O</t>
        </is>
      </c>
    </row>
    <row r="76">
      <c r="A76" s="6" t="inlineStr">
        <is>
          <t>mv_hull_area_m2</t>
        </is>
      </c>
      <c r="B76" s="6" t="inlineStr">
        <is>
          <t>이동량·공간범위</t>
        </is>
      </c>
      <c r="C76" s="6" t="inlineStr">
        <is>
          <t>활동 범위(1시간)</t>
        </is>
      </c>
      <c r="D76" s="7" t="inlineStr">
        <is>
          <t>그날 이동 시간대 평균: 볼록껍질 면적(m²)</t>
        </is>
      </c>
      <c r="E76" s="6" t="inlineStr">
        <is>
          <t>지유·민성</t>
        </is>
      </c>
      <c r="F76" s="6" t="inlineStr"/>
      <c r="G76" s="6" t="inlineStr">
        <is>
          <t>O</t>
        </is>
      </c>
      <c r="H76" s="6" t="inlineStr">
        <is>
          <t>O</t>
        </is>
      </c>
    </row>
    <row r="77">
      <c r="A77" s="6" t="inlineStr">
        <is>
          <t>mv_uniq_pos_ratio</t>
        </is>
      </c>
      <c r="B77" s="6" t="inlineStr">
        <is>
          <t>품질·기록량</t>
        </is>
      </c>
      <c r="C77" s="6" t="inlineStr">
        <is>
          <t>기록량</t>
        </is>
      </c>
      <c r="D77" s="7" t="inlineStr">
        <is>
          <t>그날 이동 시간대 평균: 고유 위치(10m 격자) 비율: 낮으면 제자리</t>
        </is>
      </c>
      <c r="E77" s="6" t="inlineStr">
        <is>
          <t>나연</t>
        </is>
      </c>
      <c r="F77" s="6" t="inlineStr"/>
      <c r="G77" s="6" t="inlineStr">
        <is>
          <t>O</t>
        </is>
      </c>
      <c r="H77" s="6" t="inlineStr">
        <is>
          <t>O</t>
        </is>
      </c>
    </row>
    <row r="78">
      <c r="A78" s="6" t="inlineStr">
        <is>
          <t>mv_pca_elong</t>
        </is>
      </c>
      <c r="B78" s="6" t="inlineStr">
        <is>
          <t>경로형태·직선투망(B)</t>
        </is>
      </c>
      <c r="C78" s="6" t="inlineStr">
        <is>
          <t>직선 투망 형상</t>
        </is>
      </c>
      <c r="D78" s="7" t="inlineStr">
        <is>
          <t>그날 이동 시간대 평균: PCA 연신율 log(1+λ1/λ2): 직선 모양일수록 큼</t>
        </is>
      </c>
      <c r="E78" s="6" t="inlineStr">
        <is>
          <t>가설 B</t>
        </is>
      </c>
      <c r="F78" s="6" t="inlineStr"/>
      <c r="G78" s="6" t="inlineStr">
        <is>
          <t>O</t>
        </is>
      </c>
      <c r="H78" s="6" t="inlineStr">
        <is>
          <t>O</t>
        </is>
      </c>
    </row>
    <row r="79">
      <c r="A79" s="6" t="inlineStr">
        <is>
          <t>mv_seg_sinuosity_mean</t>
        </is>
      </c>
      <c r="B79" s="6" t="inlineStr">
        <is>
          <t>경로형태·직선투망(B)</t>
        </is>
      </c>
      <c r="C79" s="6" t="inlineStr">
        <is>
          <t>직진도·구불거림</t>
        </is>
      </c>
      <c r="D79" s="7" t="inlineStr">
        <is>
          <t>그날 이동 시간대 평균: 구간별 구불거림 평균 (변위 100m 이상 구간)</t>
        </is>
      </c>
      <c r="E79" s="6" t="inlineStr">
        <is>
          <t>지유</t>
        </is>
      </c>
      <c r="F79" s="6" t="inlineStr"/>
      <c r="G79" s="6" t="inlineStr">
        <is>
          <t>O</t>
        </is>
      </c>
      <c r="H79" s="6" t="inlineStr">
        <is>
          <t>O</t>
        </is>
      </c>
    </row>
    <row r="80">
      <c r="A80" s="6" t="inlineStr">
        <is>
          <t>mv_ks_speed_med</t>
        </is>
      </c>
      <c r="B80" s="6" t="inlineStr">
        <is>
          <t>속도 구조(C)</t>
        </is>
      </c>
      <c r="C80" s="6" t="inlineStr">
        <is>
          <t>5-step 강건 속도</t>
        </is>
      </c>
      <c r="D80" s="7" t="inlineStr">
        <is>
          <t>그날 이동 시간대 평균: 5-step 속도 중앙값(kn)</t>
        </is>
      </c>
      <c r="E80" s="6" t="inlineStr">
        <is>
          <t>민성</t>
        </is>
      </c>
      <c r="F80" s="6" t="inlineStr"/>
      <c r="G80" s="6" t="inlineStr">
        <is>
          <t>O</t>
        </is>
      </c>
      <c r="H80" s="6" t="inlineStr">
        <is>
          <t>O</t>
        </is>
      </c>
    </row>
    <row r="81">
      <c r="A81" s="6" t="inlineStr">
        <is>
          <t>mv_ks_speed_p90</t>
        </is>
      </c>
      <c r="B81" s="6" t="inlineStr">
        <is>
          <t>속도 구조(C)</t>
        </is>
      </c>
      <c r="C81" s="6" t="inlineStr">
        <is>
          <t>5-step 강건 속도</t>
        </is>
      </c>
      <c r="D81" s="7" t="inlineStr">
        <is>
          <t>그날 이동 시간대 평균: 5-step 속도 90% 분위</t>
        </is>
      </c>
      <c r="E81" s="6" t="inlineStr">
        <is>
          <t>민성</t>
        </is>
      </c>
      <c r="F81" s="6" t="inlineStr"/>
      <c r="G81" s="6" t="inlineStr">
        <is>
          <t>O</t>
        </is>
      </c>
      <c r="H81" s="6" t="inlineStr">
        <is>
          <t>O</t>
        </is>
      </c>
    </row>
    <row r="82">
      <c r="A82" s="6" t="inlineStr">
        <is>
          <t>mv_ks_heading_R</t>
        </is>
      </c>
      <c r="B82" s="6" t="inlineStr">
        <is>
          <t>방향·회전(D)</t>
        </is>
      </c>
      <c r="C82" s="6" t="inlineStr">
        <is>
          <t>방향 일관성</t>
        </is>
      </c>
      <c r="D82" s="7" t="inlineStr">
        <is>
          <t>그날 이동 시간대 평균: 5-step 방향 일관성</t>
        </is>
      </c>
      <c r="E82" s="6" t="inlineStr">
        <is>
          <t>민성</t>
        </is>
      </c>
      <c r="F82" s="6" t="inlineStr"/>
      <c r="G82" s="6" t="inlineStr">
        <is>
          <t>O</t>
        </is>
      </c>
      <c r="H82" s="6" t="inlineStr">
        <is>
          <t>O</t>
        </is>
      </c>
    </row>
    <row r="83">
      <c r="A83" s="6" t="inlineStr">
        <is>
          <t>mv_ks_turn_med</t>
        </is>
      </c>
      <c r="B83" s="6" t="inlineStr">
        <is>
          <t>방향·회전(D)</t>
        </is>
      </c>
      <c r="C83" s="6" t="inlineStr">
        <is>
          <t>회전각</t>
        </is>
      </c>
      <c r="D83" s="7" t="inlineStr">
        <is>
          <t>그날 이동 시간대 평균: 5-step 회전각 중앙값(°)</t>
        </is>
      </c>
      <c r="E83" s="6" t="inlineStr">
        <is>
          <t>민성</t>
        </is>
      </c>
      <c r="F83" s="6" t="inlineStr"/>
      <c r="G83" s="6" t="inlineStr">
        <is>
          <t>O</t>
        </is>
      </c>
      <c r="H83" s="6" t="inlineStr">
        <is>
          <t>O</t>
        </is>
      </c>
    </row>
    <row r="84">
      <c r="A84" s="6" t="inlineStr">
        <is>
          <t>mv_ks_straight_max_m</t>
        </is>
      </c>
      <c r="B84" s="6" t="inlineStr">
        <is>
          <t>경로형태·직선투망(B)</t>
        </is>
      </c>
      <c r="C84" s="6" t="inlineStr">
        <is>
          <t>직선 투망 형상</t>
        </is>
      </c>
      <c r="D84" s="7" t="inlineStr">
        <is>
          <t>그날 이동 시간대 평균: 5-step 최장 직선 이동(m, 회전 15° 미만 연속) = 투망 길이 추정</t>
        </is>
      </c>
      <c r="E84" s="6" t="inlineStr">
        <is>
          <t>민성·가설 B</t>
        </is>
      </c>
      <c r="F84" s="6" t="inlineStr"/>
      <c r="G84" s="6" t="inlineStr">
        <is>
          <t>O</t>
        </is>
      </c>
      <c r="H84" s="6" t="inlineStr">
        <is>
          <t>O</t>
        </is>
      </c>
    </row>
    <row r="85">
      <c r="A85" s="6" t="inlineStr">
        <is>
          <t>mv_slow_run_max_min</t>
        </is>
      </c>
      <c r="B85" s="6" t="inlineStr">
        <is>
          <t>속도 구조(C)</t>
        </is>
      </c>
      <c r="C85" s="6" t="inlineStr">
        <is>
          <t>저속 연속·속도 다양성</t>
        </is>
      </c>
      <c r="D85" s="7" t="inlineStr">
        <is>
          <t>그날 이동 시간대 평균: 저속(0.3~2kn) 최장 연속 시간(분) = 양망 추정</t>
        </is>
      </c>
      <c r="E85" s="6" t="inlineStr">
        <is>
          <t>가설 C</t>
        </is>
      </c>
      <c r="F85" s="6" t="inlineStr"/>
      <c r="G85" s="6" t="inlineStr">
        <is>
          <t>O</t>
        </is>
      </c>
      <c r="H85" s="6" t="inlineStr">
        <is>
          <t>O</t>
        </is>
      </c>
    </row>
    <row r="86">
      <c r="A86" s="6" t="inlineStr">
        <is>
          <t>mv_speed_entropy</t>
        </is>
      </c>
      <c r="B86" s="6" t="inlineStr">
        <is>
          <t>속도 구조(C)</t>
        </is>
      </c>
      <c r="C86" s="6" t="inlineStr">
        <is>
          <t>저속 연속·속도 다양성</t>
        </is>
      </c>
      <c r="D86" s="7" t="inlineStr">
        <is>
          <t>그날 이동 시간대 평균: 속도 구간 분포 엔트로피: 여러 속도를 섞어 쓸수록 큼</t>
        </is>
      </c>
      <c r="E86" s="6" t="inlineStr">
        <is>
          <t>가설 C</t>
        </is>
      </c>
      <c r="F86" s="6" t="inlineStr"/>
      <c r="G86" s="6" t="inlineStr">
        <is>
          <t>O</t>
        </is>
      </c>
      <c r="H86" s="6" t="inlineStr">
        <is>
          <t>O</t>
        </is>
      </c>
    </row>
    <row r="87">
      <c r="A87" s="6" t="inlineStr">
        <is>
          <t>mv_n_stays</t>
        </is>
      </c>
      <c r="B87" s="6" t="inlineStr">
        <is>
          <t>체류점</t>
        </is>
      </c>
      <c r="C87" s="6" t="inlineStr">
        <is>
          <t>체류점</t>
        </is>
      </c>
      <c r="D87" s="7" t="inlineStr">
        <is>
          <t>그날 이동 시간대 평균: 체류점 횟수 (반경 30m 안에 3점 이상 머묾)</t>
        </is>
      </c>
      <c r="E87" s="6" t="inlineStr">
        <is>
          <t>민성</t>
        </is>
      </c>
      <c r="F87" s="6" t="inlineStr"/>
      <c r="G87" s="6" t="inlineStr">
        <is>
          <t>O</t>
        </is>
      </c>
      <c r="H87" s="6" t="inlineStr">
        <is>
          <t>O</t>
        </is>
      </c>
    </row>
    <row r="88">
      <c r="A88" s="6" t="inlineStr">
        <is>
          <t>mv_stay_frac</t>
        </is>
      </c>
      <c r="B88" s="6" t="inlineStr">
        <is>
          <t>체류점</t>
        </is>
      </c>
      <c r="C88" s="6" t="inlineStr">
        <is>
          <t>체류점</t>
        </is>
      </c>
      <c r="D88" s="7" t="inlineStr">
        <is>
          <t>그날 이동 시간대 평균: 체류점에 속한 점 비율</t>
        </is>
      </c>
      <c r="E88" s="6" t="inlineStr">
        <is>
          <t>민성</t>
        </is>
      </c>
      <c r="F88" s="6" t="inlineStr"/>
      <c r="G88" s="6" t="inlineStr">
        <is>
          <t>O</t>
        </is>
      </c>
      <c r="H88" s="6" t="inlineStr">
        <is>
          <t>O</t>
        </is>
      </c>
    </row>
    <row r="89">
      <c r="A89" s="6" t="inlineStr">
        <is>
          <t>mv_spec_entropy</t>
        </is>
      </c>
      <c r="B89" s="6" t="inlineStr">
        <is>
          <t>속도 구조(C)</t>
        </is>
      </c>
      <c r="C89" s="6" t="inlineStr">
        <is>
          <t>이동 리듬(스펙트럼)</t>
        </is>
      </c>
      <c r="D89" s="7" t="inlineStr">
        <is>
          <t>그날 이동 시간대 평균: step 길이 스펙트럼 엔트로피: 이동 리듬의 불규칙성</t>
        </is>
      </c>
      <c r="E89" s="6" t="inlineStr">
        <is>
          <t>진우</t>
        </is>
      </c>
      <c r="F89" s="6" t="inlineStr"/>
      <c r="G89" s="6" t="inlineStr">
        <is>
          <t>O</t>
        </is>
      </c>
      <c r="H89" s="6" t="inlineStr">
        <is>
          <t>O</t>
        </is>
      </c>
    </row>
    <row r="90">
      <c r="A90" s="6" t="inlineStr">
        <is>
          <t>mv_lowfreq_ratio</t>
        </is>
      </c>
      <c r="B90" s="6" t="inlineStr">
        <is>
          <t>속도 구조(C)</t>
        </is>
      </c>
      <c r="C90" s="6" t="inlineStr">
        <is>
          <t>이동 리듬(스펙트럼)</t>
        </is>
      </c>
      <c r="D90" s="7" t="inlineStr">
        <is>
          <t>그날 이동 시간대 평균: step 저주파 에너지 비율: 느린 주기 변화의 비중</t>
        </is>
      </c>
      <c r="E90" s="6" t="inlineStr">
        <is>
          <t>진우</t>
        </is>
      </c>
      <c r="F90" s="6" t="inlineStr"/>
      <c r="G90" s="6" t="inlineStr">
        <is>
          <t>O</t>
        </is>
      </c>
      <c r="H90" s="6" t="inlineStr">
        <is>
          <t>O</t>
        </is>
      </c>
    </row>
    <row r="91">
      <c r="A91" s="6" t="inlineStr">
        <is>
          <t>mv_step_cv</t>
        </is>
      </c>
      <c r="B91" s="6" t="inlineStr">
        <is>
          <t>속도 구조(C)</t>
        </is>
      </c>
      <c r="C91" s="6" t="inlineStr">
        <is>
          <t>점 간 step 크기</t>
        </is>
      </c>
      <c r="D91" s="7" t="inlineStr">
        <is>
          <t>그날 이동 시간대 평균: step 변동계수: 이동 크기가 들쭉날쭉한 정도</t>
        </is>
      </c>
      <c r="E91" s="6" t="inlineStr">
        <is>
          <t>민성</t>
        </is>
      </c>
      <c r="F91" s="6" t="inlineStr"/>
      <c r="G91" s="6" t="inlineStr">
        <is>
          <t>O</t>
        </is>
      </c>
      <c r="H91" s="6" t="inlineStr">
        <is>
          <t>O</t>
        </is>
      </c>
    </row>
    <row r="92">
      <c r="A92" s="6" t="inlineStr">
        <is>
          <t>mv_spike_ratio</t>
        </is>
      </c>
      <c r="B92" s="6" t="inlineStr">
        <is>
          <t>품질·기록량</t>
        </is>
      </c>
      <c r="C92" s="6" t="inlineStr">
        <is>
          <t>GPS 튐·정제</t>
        </is>
      </c>
      <c r="D92" s="7" t="inlineStr">
        <is>
          <t>그날 이동 시간대 평균: 튐 점 비율</t>
        </is>
      </c>
      <c r="E92" s="6" t="inlineStr">
        <is>
          <t>나연·지유</t>
        </is>
      </c>
      <c r="F92" s="6" t="inlineStr"/>
      <c r="G92" s="6" t="inlineStr">
        <is>
          <t>O</t>
        </is>
      </c>
      <c r="H92" s="6" t="inlineStr">
        <is>
          <t>O</t>
        </is>
      </c>
    </row>
    <row r="93">
      <c r="A93" s="6" t="inlineStr">
        <is>
          <t>mv_raw_clean_ratio</t>
        </is>
      </c>
      <c r="B93" s="6" t="inlineStr">
        <is>
          <t>품질·기록량</t>
        </is>
      </c>
      <c r="C93" s="6" t="inlineStr">
        <is>
          <t>GPS 튐·정제</t>
        </is>
      </c>
      <c r="D93" s="7" t="inlineStr">
        <is>
          <t>그날 이동 시간대 평균: 원거리 / 정제거리</t>
        </is>
      </c>
      <c r="E93" s="6" t="inlineStr">
        <is>
          <t>지유</t>
        </is>
      </c>
      <c r="F93" s="6" t="inlineStr"/>
      <c r="G93" s="6" t="inlineStr">
        <is>
          <t>O</t>
        </is>
      </c>
      <c r="H93" s="6" t="inlineStr">
        <is>
          <t>O</t>
        </is>
      </c>
    </row>
    <row r="94">
      <c r="A94" s="6" t="inlineStr">
        <is>
          <t>mv_n_segments</t>
        </is>
      </c>
      <c r="B94" s="6" t="inlineStr">
        <is>
          <t>품질·기록량</t>
        </is>
      </c>
      <c r="C94" s="6" t="inlineStr">
        <is>
          <t>기록량</t>
        </is>
      </c>
      <c r="D94" s="7" t="inlineStr">
        <is>
          <t>그날 이동 시간대 평균: MultiLineString 구간 수 (신호 끊김+1)</t>
        </is>
      </c>
      <c r="E94" s="6" t="inlineStr">
        <is>
          <t>지유·나연·진우</t>
        </is>
      </c>
      <c r="F94" s="6" t="inlineStr"/>
      <c r="G94" s="6" t="inlineStr">
        <is>
          <t>O</t>
        </is>
      </c>
      <c r="H94" s="6" t="inlineStr">
        <is>
          <t>O</t>
        </is>
      </c>
    </row>
    <row r="95">
      <c r="A95" s="6" t="inlineStr">
        <is>
          <t>mv_n_points</t>
        </is>
      </c>
      <c r="B95" s="6" t="inlineStr">
        <is>
          <t>품질·기록량</t>
        </is>
      </c>
      <c r="C95" s="6" t="inlineStr">
        <is>
          <t>기록량</t>
        </is>
      </c>
      <c r="D95" s="7" t="inlineStr">
        <is>
          <t>그날 이동 시간대 평균: 튐 제거 후 점 수</t>
        </is>
      </c>
      <c r="E95" s="6" t="inlineStr">
        <is>
          <t>지유·나연·진우</t>
        </is>
      </c>
      <c r="F95" s="6" t="inlineStr"/>
      <c r="G95" s="6" t="inlineStr">
        <is>
          <t>O</t>
        </is>
      </c>
      <c r="H95" s="6" t="inlineStr">
        <is>
          <t>O</t>
        </is>
      </c>
    </row>
    <row r="96">
      <c r="A96" s="6" t="inlineStr">
        <is>
          <t>mv_bin_dispersion_m</t>
        </is>
      </c>
      <c r="B96" s="6" t="inlineStr">
        <is>
          <t>품질·기록량</t>
        </is>
      </c>
      <c r="C96" s="6" t="inlineStr">
        <is>
          <t>GPS 튐·정제</t>
        </is>
      </c>
      <c r="D96" s="7" t="inlineStr">
        <is>
          <t>그날 이동 시간대 평균: 10분 구간 내 점 흩어짐(m)</t>
        </is>
      </c>
      <c r="E96" s="6" t="inlineStr">
        <is>
          <t>나연</t>
        </is>
      </c>
      <c r="F96" s="6" t="inlineStr"/>
      <c r="G96" s="6" t="inlineStr">
        <is>
          <t>O</t>
        </is>
      </c>
      <c r="H96" s="6" t="inlineStr">
        <is>
          <t>O</t>
        </is>
      </c>
    </row>
    <row r="97">
      <c r="A97" s="6" t="inlineStr">
        <is>
          <t>mv_lon_c</t>
        </is>
      </c>
      <c r="B97" s="6" t="inlineStr">
        <is>
          <t>위치(LOC)</t>
        </is>
      </c>
      <c r="C97" s="6" t="inlineStr">
        <is>
          <t>좌표</t>
        </is>
      </c>
      <c r="D97" s="7" t="inlineStr">
        <is>
          <t>이동 시간대 대표 경도</t>
        </is>
      </c>
      <c r="E97" s="6" t="inlineStr">
        <is>
          <t>나연</t>
        </is>
      </c>
      <c r="F97" s="6" t="inlineStr">
        <is>
          <t>O</t>
        </is>
      </c>
      <c r="G97" s="6" t="inlineStr"/>
      <c r="H97" s="6" t="inlineStr">
        <is>
          <t>O</t>
        </is>
      </c>
    </row>
    <row r="98">
      <c r="A98" s="6" t="inlineStr">
        <is>
          <t>mv_lat_c</t>
        </is>
      </c>
      <c r="B98" s="6" t="inlineStr">
        <is>
          <t>위치(LOC)</t>
        </is>
      </c>
      <c r="C98" s="6" t="inlineStr">
        <is>
          <t>좌표</t>
        </is>
      </c>
      <c r="D98" s="7" t="inlineStr">
        <is>
          <t>이동 시간대 대표 위도</t>
        </is>
      </c>
      <c r="E98" s="6" t="inlineStr">
        <is>
          <t>나연</t>
        </is>
      </c>
      <c r="F98" s="6" t="inlineStr">
        <is>
          <t>O</t>
        </is>
      </c>
      <c r="G98" s="6" t="inlineStr"/>
      <c r="H98" s="6" t="inlineStr">
        <is>
          <t>O</t>
        </is>
      </c>
    </row>
    <row r="99">
      <c r="A99" s="6" t="inlineStr">
        <is>
          <t>return_after_absence</t>
        </is>
      </c>
      <c r="B99" s="6" t="inlineStr">
        <is>
          <t>재방문·어장반복(A)</t>
        </is>
      </c>
      <c r="C99" s="6" t="inlineStr">
        <is>
          <t>하루 내 재방문</t>
        </is>
      </c>
      <c r="D99" s="7" t="inlineStr">
        <is>
          <t>200m 격자를 2시간 이상 떠났다 돌아온 횟수</t>
        </is>
      </c>
      <c r="E99" s="6" t="inlineStr">
        <is>
          <t>가설 A</t>
        </is>
      </c>
      <c r="F99" s="6" t="inlineStr"/>
      <c r="G99" s="6" t="inlineStr">
        <is>
          <t>O</t>
        </is>
      </c>
      <c r="H99" s="6" t="inlineStr">
        <is>
          <t>O</t>
        </is>
      </c>
    </row>
    <row r="100">
      <c r="A100" s="6" t="inlineStr">
        <is>
          <t>revisit_cell_ratio</t>
        </is>
      </c>
      <c r="B100" s="6" t="inlineStr">
        <is>
          <t>재방문·어장반복(A)</t>
        </is>
      </c>
      <c r="C100" s="6" t="inlineStr">
        <is>
          <t>하루 내 재방문</t>
        </is>
      </c>
      <c r="D100" s="7" t="inlineStr">
        <is>
          <t>200m 격자 중 여러 시간대에 방문한 칸 비율</t>
        </is>
      </c>
      <c r="E100" s="6" t="inlineStr">
        <is>
          <t>가설 A</t>
        </is>
      </c>
      <c r="F100" s="6" t="inlineStr"/>
      <c r="G100" s="6" t="inlineStr">
        <is>
          <t>O</t>
        </is>
      </c>
      <c r="H100" s="6" t="inlineStr">
        <is>
          <t>O</t>
        </is>
      </c>
    </row>
    <row r="101">
      <c r="A101" s="6" t="inlineStr">
        <is>
          <t>n_cells_200m</t>
        </is>
      </c>
      <c r="B101" s="6" t="inlineStr">
        <is>
          <t>재방문·어장반복(A)</t>
        </is>
      </c>
      <c r="C101" s="6" t="inlineStr">
        <is>
          <t>하루 내 재방문</t>
        </is>
      </c>
      <c r="D101" s="7" t="inlineStr">
        <is>
          <t>방문한 200m 격자 수</t>
        </is>
      </c>
      <c r="E101" s="6" t="inlineStr">
        <is>
          <t>가설 A</t>
        </is>
      </c>
      <c r="F101" s="6" t="inlineStr"/>
      <c r="G101" s="6" t="inlineStr">
        <is>
          <t>O</t>
        </is>
      </c>
      <c r="H101" s="6" t="inlineStr">
        <is>
          <t>O</t>
        </is>
      </c>
    </row>
    <row r="102">
      <c r="A102" s="6" t="inlineStr">
        <is>
          <t>top3_cell_share</t>
        </is>
      </c>
      <c r="B102" s="6" t="inlineStr">
        <is>
          <t>재방문·어장반복(A)</t>
        </is>
      </c>
      <c r="C102" s="6" t="inlineStr">
        <is>
          <t>하루 내 재방문</t>
        </is>
      </c>
      <c r="D102" s="7" t="inlineStr">
        <is>
          <t>상위 3칸 체류 비중</t>
        </is>
      </c>
      <c r="E102" s="6" t="inlineStr">
        <is>
          <t>가설 A</t>
        </is>
      </c>
      <c r="F102" s="6" t="inlineStr"/>
      <c r="G102" s="6" t="inlineStr">
        <is>
          <t>O</t>
        </is>
      </c>
      <c r="H102" s="6" t="inlineStr">
        <is>
          <t>O</t>
        </is>
      </c>
    </row>
  </sheetData>
  <autoFilter ref="A1:H1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60" customWidth="1" min="4" max="4"/>
    <col width="16" customWidth="1" min="5" max="5"/>
  </cols>
  <sheetData>
    <row r="1">
      <c r="A1" s="5" t="inlineStr">
        <is>
          <t>피처명</t>
        </is>
      </c>
      <c r="B1" s="5" t="inlineStr">
        <is>
          <t>대분류</t>
        </is>
      </c>
      <c r="C1" s="5" t="inlineStr">
        <is>
          <t>세부 구분</t>
        </is>
      </c>
      <c r="D1" s="5" t="inlineStr">
        <is>
          <t>설명</t>
        </is>
      </c>
      <c r="E1" s="5" t="inlineStr">
        <is>
          <t>출처</t>
        </is>
      </c>
    </row>
    <row r="2">
      <c r="A2" s="6" t="inlineStr">
        <is>
          <t>n_points_raw</t>
        </is>
      </c>
      <c r="B2" s="6" t="inlineStr">
        <is>
          <t>품질·기록량</t>
        </is>
      </c>
      <c r="C2" s="6" t="inlineStr">
        <is>
          <t>기록량</t>
        </is>
      </c>
      <c r="D2" s="7" t="inlineStr">
        <is>
          <t>원본 GPS 점 수</t>
        </is>
      </c>
      <c r="E2" s="6" t="inlineStr">
        <is>
          <t>지유·나연·진우</t>
        </is>
      </c>
    </row>
    <row r="3">
      <c r="A3" s="6" t="inlineStr">
        <is>
          <t>n_points</t>
        </is>
      </c>
      <c r="B3" s="6" t="inlineStr">
        <is>
          <t>품질·기록량</t>
        </is>
      </c>
      <c r="C3" s="6" t="inlineStr">
        <is>
          <t>기록량</t>
        </is>
      </c>
      <c r="D3" s="7" t="inlineStr">
        <is>
          <t>튐 제거 후 점 수</t>
        </is>
      </c>
      <c r="E3" s="6" t="inlineStr">
        <is>
          <t>지유·나연·진우</t>
        </is>
      </c>
    </row>
    <row r="4">
      <c r="A4" s="6" t="inlineStr">
        <is>
          <t>n_segments</t>
        </is>
      </c>
      <c r="B4" s="6" t="inlineStr">
        <is>
          <t>품질·기록량</t>
        </is>
      </c>
      <c r="C4" s="6" t="inlineStr">
        <is>
          <t>기록량</t>
        </is>
      </c>
      <c r="D4" s="7" t="inlineStr">
        <is>
          <t>MultiLineString 구간 수 (신호 끊김+1)</t>
        </is>
      </c>
      <c r="E4" s="6" t="inlineStr">
        <is>
          <t>지유·나연·진우</t>
        </is>
      </c>
    </row>
    <row r="5">
      <c r="A5" s="6" t="inlineStr">
        <is>
          <t>gap_count</t>
        </is>
      </c>
      <c r="B5" s="6" t="inlineStr">
        <is>
          <t>품질·기록량</t>
        </is>
      </c>
      <c r="C5" s="6" t="inlineStr">
        <is>
          <t>기록량</t>
        </is>
      </c>
      <c r="D5" s="7" t="inlineStr">
        <is>
          <t>관측 끊김 횟수</t>
        </is>
      </c>
      <c r="E5" s="6" t="inlineStr">
        <is>
          <t>지유</t>
        </is>
      </c>
    </row>
    <row r="6">
      <c r="A6" s="6" t="inlineStr">
        <is>
          <t>pts_per_seg</t>
        </is>
      </c>
      <c r="B6" s="6" t="inlineStr">
        <is>
          <t>품질·기록량</t>
        </is>
      </c>
      <c r="C6" s="6" t="inlineStr">
        <is>
          <t>기록량</t>
        </is>
      </c>
      <c r="D6" s="7" t="inlineStr">
        <is>
          <t>구간당 평균 점 수</t>
        </is>
      </c>
      <c r="E6" s="6" t="inlineStr">
        <is>
          <t>지유</t>
        </is>
      </c>
    </row>
    <row r="7">
      <c r="A7" s="6" t="inlineStr">
        <is>
          <t>uniq_pos_ratio</t>
        </is>
      </c>
      <c r="B7" s="6" t="inlineStr">
        <is>
          <t>품질·기록량</t>
        </is>
      </c>
      <c r="C7" s="6" t="inlineStr">
        <is>
          <t>기록량</t>
        </is>
      </c>
      <c r="D7" s="7" t="inlineStr">
        <is>
          <t>고유 위치(10m 격자) 비율: 낮으면 제자리</t>
        </is>
      </c>
      <c r="E7" s="6" t="inlineStr">
        <is>
          <t>나연</t>
        </is>
      </c>
    </row>
    <row r="8">
      <c r="A8" s="6" t="inlineStr">
        <is>
          <t>n_spikes</t>
        </is>
      </c>
      <c r="B8" s="6" t="inlineStr">
        <is>
          <t>품질·기록량</t>
        </is>
      </c>
      <c r="C8" s="6" t="inlineStr">
        <is>
          <t>GPS 튐·정제</t>
        </is>
      </c>
      <c r="D8" s="7" t="inlineStr">
        <is>
          <t>제거된 A→B→A 튐 점 수</t>
        </is>
      </c>
      <c r="E8" s="6" t="inlineStr">
        <is>
          <t>나연·지유</t>
        </is>
      </c>
    </row>
    <row r="9">
      <c r="A9" s="6" t="inlineStr">
        <is>
          <t>spike_ratio</t>
        </is>
      </c>
      <c r="B9" s="6" t="inlineStr">
        <is>
          <t>품질·기록량</t>
        </is>
      </c>
      <c r="C9" s="6" t="inlineStr">
        <is>
          <t>GPS 튐·정제</t>
        </is>
      </c>
      <c r="D9" s="7" t="inlineStr">
        <is>
          <t>튐 점 비율</t>
        </is>
      </c>
      <c r="E9" s="6" t="inlineStr">
        <is>
          <t>나연·지유</t>
        </is>
      </c>
    </row>
    <row r="10">
      <c r="A10" s="6" t="inlineStr">
        <is>
          <t>n_jumps</t>
        </is>
      </c>
      <c r="B10" s="6" t="inlineStr">
        <is>
          <t>품질·기록량</t>
        </is>
      </c>
      <c r="C10" s="6" t="inlineStr">
        <is>
          <t>GPS 튐·정제</t>
        </is>
      </c>
      <c r="D10" s="7" t="inlineStr">
        <is>
          <t>15km 초과 점프 수</t>
        </is>
      </c>
      <c r="E10" s="6" t="inlineStr">
        <is>
          <t>나연</t>
        </is>
      </c>
    </row>
    <row r="11">
      <c r="A11" s="6" t="inlineStr">
        <is>
          <t>n_bin_spikes</t>
        </is>
      </c>
      <c r="B11" s="6" t="inlineStr">
        <is>
          <t>품질·기록량</t>
        </is>
      </c>
      <c r="C11" s="6" t="inlineStr">
        <is>
          <t>GPS 튐·정제</t>
        </is>
      </c>
      <c r="D11" s="7" t="inlineStr">
        <is>
          <t>10분 구간 수준 튐 수</t>
        </is>
      </c>
      <c r="E11" s="6" t="inlineStr">
        <is>
          <t>나연</t>
        </is>
      </c>
    </row>
    <row r="12">
      <c r="A12" s="6" t="inlineStr">
        <is>
          <t>n_bin_jumps</t>
        </is>
      </c>
      <c r="B12" s="6" t="inlineStr">
        <is>
          <t>품질·기록량</t>
        </is>
      </c>
      <c r="C12" s="6" t="inlineStr">
        <is>
          <t>GPS 튐·정제</t>
        </is>
      </c>
      <c r="D12" s="7" t="inlineStr">
        <is>
          <t>10분 구간 간 7km 초과 점프 수</t>
        </is>
      </c>
      <c r="E12" s="6" t="inlineStr">
        <is>
          <t>나연</t>
        </is>
      </c>
    </row>
    <row r="13">
      <c r="A13" s="6" t="inlineStr">
        <is>
          <t>bin_dispersion_m</t>
        </is>
      </c>
      <c r="B13" s="6" t="inlineStr">
        <is>
          <t>품질·기록량</t>
        </is>
      </c>
      <c r="C13" s="6" t="inlineStr">
        <is>
          <t>GPS 튐·정제</t>
        </is>
      </c>
      <c r="D13" s="7" t="inlineStr">
        <is>
          <t>10분 구간 내 점 흩어짐(m)</t>
        </is>
      </c>
      <c r="E13" s="6" t="inlineStr">
        <is>
          <t>나연</t>
        </is>
      </c>
    </row>
    <row r="14">
      <c r="A14" s="6" t="inlineStr">
        <is>
          <t>raw_clean_diff_m</t>
        </is>
      </c>
      <c r="B14" s="6" t="inlineStr">
        <is>
          <t>품질·기록량</t>
        </is>
      </c>
      <c r="C14" s="6" t="inlineStr">
        <is>
          <t>GPS 튐·정제</t>
        </is>
      </c>
      <c r="D14" s="7" t="inlineStr">
        <is>
          <t>원거리 − 정제거리 (튐으로 부풀려진 거리, m)</t>
        </is>
      </c>
      <c r="E14" s="6" t="inlineStr">
        <is>
          <t>지유</t>
        </is>
      </c>
    </row>
    <row r="15">
      <c r="A15" s="6" t="inlineStr">
        <is>
          <t>raw_clean_ratio</t>
        </is>
      </c>
      <c r="B15" s="6" t="inlineStr">
        <is>
          <t>품질·기록량</t>
        </is>
      </c>
      <c r="C15" s="6" t="inlineStr">
        <is>
          <t>GPS 튐·정제</t>
        </is>
      </c>
      <c r="D15" s="7" t="inlineStr">
        <is>
          <t>원거리 / 정제거리</t>
        </is>
      </c>
      <c r="E15" s="6" t="inlineStr">
        <is>
          <t>지유</t>
        </is>
      </c>
    </row>
    <row r="16">
      <c r="A16" s="6" t="inlineStr">
        <is>
          <t>overspeed_flag</t>
        </is>
      </c>
      <c r="B16" s="6" t="inlineStr">
        <is>
          <t>품질·기록량</t>
        </is>
      </c>
      <c r="C16" s="6" t="inlineStr">
        <is>
          <t>GPS 튐·정제</t>
        </is>
      </c>
      <c r="D16" s="7" t="inlineStr">
        <is>
          <t>10분 속도 20kn 초과 여부</t>
        </is>
      </c>
      <c r="E16" s="6" t="inlineStr">
        <is>
          <t>나연</t>
        </is>
      </c>
    </row>
    <row r="17">
      <c r="A17" s="6" t="inlineStr">
        <is>
          <t>gap_dist_m</t>
        </is>
      </c>
      <c r="B17" s="6" t="inlineStr">
        <is>
          <t>품질·기록량</t>
        </is>
      </c>
      <c r="C17" s="6" t="inlineStr">
        <is>
          <t>신호 끊김</t>
        </is>
      </c>
      <c r="D17" s="7" t="inlineStr">
        <is>
          <t>구간 사이 끊김 거리 합(m)</t>
        </is>
      </c>
      <c r="E17" s="6" t="inlineStr">
        <is>
          <t>지유·진우</t>
        </is>
      </c>
    </row>
    <row r="18">
      <c r="A18" s="6" t="inlineStr">
        <is>
          <t>max_gap_m</t>
        </is>
      </c>
      <c r="B18" s="6" t="inlineStr">
        <is>
          <t>품질·기록량</t>
        </is>
      </c>
      <c r="C18" s="6" t="inlineStr">
        <is>
          <t>신호 끊김</t>
        </is>
      </c>
      <c r="D18" s="7" t="inlineStr">
        <is>
          <t>최대 끊김 거리(m)</t>
        </is>
      </c>
      <c r="E18" s="6" t="inlineStr">
        <is>
          <t>지유</t>
        </is>
      </c>
    </row>
    <row r="19">
      <c r="A19" s="6" t="inlineStr">
        <is>
          <t>lon_c</t>
        </is>
      </c>
      <c r="B19" s="6" t="inlineStr">
        <is>
          <t>위치(LOC)</t>
        </is>
      </c>
      <c r="C19" s="6" t="inlineStr">
        <is>
          <t>좌표</t>
        </is>
      </c>
      <c r="D19" s="7" t="inlineStr">
        <is>
          <t>중심 경도(중앙값)</t>
        </is>
      </c>
      <c r="E19" s="6" t="inlineStr">
        <is>
          <t>공통</t>
        </is>
      </c>
    </row>
    <row r="20">
      <c r="A20" s="6" t="inlineStr">
        <is>
          <t>lat_c</t>
        </is>
      </c>
      <c r="B20" s="6" t="inlineStr">
        <is>
          <t>위치(LOC)</t>
        </is>
      </c>
      <c r="C20" s="6" t="inlineStr">
        <is>
          <t>좌표</t>
        </is>
      </c>
      <c r="D20" s="7" t="inlineStr">
        <is>
          <t>중심 위도(중앙값)</t>
        </is>
      </c>
      <c r="E20" s="6" t="inlineStr">
        <is>
          <t>공통</t>
        </is>
      </c>
    </row>
    <row r="21">
      <c r="A21" s="6" t="inlineStr">
        <is>
          <t>lon_s</t>
        </is>
      </c>
      <c r="B21" s="6" t="inlineStr">
        <is>
          <t>위치(LOC)</t>
        </is>
      </c>
      <c r="C21" s="6" t="inlineStr">
        <is>
          <t>좌표</t>
        </is>
      </c>
      <c r="D21" s="7" t="inlineStr">
        <is>
          <t>시작 경도</t>
        </is>
      </c>
      <c r="E21" s="6" t="inlineStr">
        <is>
          <t>나연·진우</t>
        </is>
      </c>
    </row>
    <row r="22">
      <c r="A22" s="6" t="inlineStr">
        <is>
          <t>lat_s</t>
        </is>
      </c>
      <c r="B22" s="6" t="inlineStr">
        <is>
          <t>위치(LOC)</t>
        </is>
      </c>
      <c r="C22" s="6" t="inlineStr">
        <is>
          <t>좌표</t>
        </is>
      </c>
      <c r="D22" s="7" t="inlineStr">
        <is>
          <t>시작 위도</t>
        </is>
      </c>
      <c r="E22" s="6" t="inlineStr">
        <is>
          <t>나연·진우</t>
        </is>
      </c>
    </row>
    <row r="23">
      <c r="A23" s="6" t="inlineStr">
        <is>
          <t>lon_e</t>
        </is>
      </c>
      <c r="B23" s="6" t="inlineStr">
        <is>
          <t>위치(LOC)</t>
        </is>
      </c>
      <c r="C23" s="6" t="inlineStr">
        <is>
          <t>좌표</t>
        </is>
      </c>
      <c r="D23" s="7" t="inlineStr">
        <is>
          <t>끝 경도</t>
        </is>
      </c>
      <c r="E23" s="6" t="inlineStr">
        <is>
          <t>나연·진우</t>
        </is>
      </c>
    </row>
    <row r="24">
      <c r="A24" s="6" t="inlineStr">
        <is>
          <t>lat_e</t>
        </is>
      </c>
      <c r="B24" s="6" t="inlineStr">
        <is>
          <t>위치(LOC)</t>
        </is>
      </c>
      <c r="C24" s="6" t="inlineStr">
        <is>
          <t>좌표</t>
        </is>
      </c>
      <c r="D24" s="7" t="inlineStr">
        <is>
          <t>끝 위도</t>
        </is>
      </c>
      <c r="E24" s="6" t="inlineStr">
        <is>
          <t>나연·진우</t>
        </is>
      </c>
    </row>
    <row r="25">
      <c r="A25" s="6" t="inlineStr">
        <is>
          <t>bbox_w_m</t>
        </is>
      </c>
      <c r="B25" s="6" t="inlineStr">
        <is>
          <t>이동량·공간범위</t>
        </is>
      </c>
      <c r="C25" s="6" t="inlineStr">
        <is>
          <t>활동 범위(1시간)</t>
        </is>
      </c>
      <c r="D25" s="7" t="inlineStr">
        <is>
          <t>활동 사각형 가로(m)</t>
        </is>
      </c>
      <c r="E25" s="6" t="inlineStr">
        <is>
          <t>지유·나연·진우</t>
        </is>
      </c>
    </row>
    <row r="26">
      <c r="A26" s="6" t="inlineStr">
        <is>
          <t>bbox_h_m</t>
        </is>
      </c>
      <c r="B26" s="6" t="inlineStr">
        <is>
          <t>이동량·공간범위</t>
        </is>
      </c>
      <c r="C26" s="6" t="inlineStr">
        <is>
          <t>활동 범위(1시간)</t>
        </is>
      </c>
      <c r="D26" s="7" t="inlineStr">
        <is>
          <t>활동 사각형 세로(m)</t>
        </is>
      </c>
      <c r="E26" s="6" t="inlineStr">
        <is>
          <t>지유·나연·진우</t>
        </is>
      </c>
    </row>
    <row r="27">
      <c r="A27" s="6" t="inlineStr">
        <is>
          <t>bbox_diag_m</t>
        </is>
      </c>
      <c r="B27" s="6" t="inlineStr">
        <is>
          <t>이동량·공간범위</t>
        </is>
      </c>
      <c r="C27" s="6" t="inlineStr">
        <is>
          <t>활동 범위(1시간)</t>
        </is>
      </c>
      <c r="D27" s="7" t="inlineStr">
        <is>
          <t>활동 사각형 대각선(m)</t>
        </is>
      </c>
      <c r="E27" s="6" t="inlineStr">
        <is>
          <t>나연</t>
        </is>
      </c>
    </row>
    <row r="28">
      <c r="A28" s="6" t="inlineStr">
        <is>
          <t>bbox_area_km2</t>
        </is>
      </c>
      <c r="B28" s="6" t="inlineStr">
        <is>
          <t>이동량·공간범위</t>
        </is>
      </c>
      <c r="C28" s="6" t="inlineStr">
        <is>
          <t>활동 범위(1시간)</t>
        </is>
      </c>
      <c r="D28" s="7" t="inlineStr">
        <is>
          <t>활동 사각형 넓이(km²)</t>
        </is>
      </c>
      <c r="E28" s="6" t="inlineStr">
        <is>
          <t>지유·진우</t>
        </is>
      </c>
    </row>
    <row r="29">
      <c r="A29" s="6" t="inlineStr">
        <is>
          <t>bbox_aspect</t>
        </is>
      </c>
      <c r="B29" s="6" t="inlineStr">
        <is>
          <t>경로형태·직선투망(B)</t>
        </is>
      </c>
      <c r="C29" s="6" t="inlineStr">
        <is>
          <t>직선 투망 형상</t>
        </is>
      </c>
      <c r="D29" s="7" t="inlineStr">
        <is>
          <t>활동 사각형 가로세로비: 길쭉할수록 큼</t>
        </is>
      </c>
      <c r="E29" s="6" t="inlineStr">
        <is>
          <t>나연</t>
        </is>
      </c>
    </row>
    <row r="30">
      <c r="A30" s="6" t="inlineStr">
        <is>
          <t>rg_m</t>
        </is>
      </c>
      <c r="B30" s="6" t="inlineStr">
        <is>
          <t>이동량·공간범위</t>
        </is>
      </c>
      <c r="C30" s="6" t="inlineStr">
        <is>
          <t>활동 범위(1시간)</t>
        </is>
      </c>
      <c r="D30" s="7" t="inlineStr">
        <is>
          <t>회전반경: 중심에서 퍼진 정도(m)</t>
        </is>
      </c>
      <c r="E30" s="6" t="inlineStr">
        <is>
          <t>민성·나연·진우</t>
        </is>
      </c>
    </row>
    <row r="31">
      <c r="A31" s="6" t="inlineStr">
        <is>
          <t>rg_med_m</t>
        </is>
      </c>
      <c r="B31" s="6" t="inlineStr">
        <is>
          <t>이동량·공간범위</t>
        </is>
      </c>
      <c r="C31" s="6" t="inlineStr">
        <is>
          <t>활동 범위(1시간)</t>
        </is>
      </c>
      <c r="D31" s="7" t="inlineStr">
        <is>
          <t>중앙 반경: 중앙점까지 거리의 중앙값(m, 지터 강건)</t>
        </is>
      </c>
      <c r="E31" s="6" t="inlineStr">
        <is>
          <t>민성</t>
        </is>
      </c>
    </row>
    <row r="32">
      <c r="A32" s="6" t="inlineStr">
        <is>
          <t>max_radius_m</t>
        </is>
      </c>
      <c r="B32" s="6" t="inlineStr">
        <is>
          <t>이동량·공간범위</t>
        </is>
      </c>
      <c r="C32" s="6" t="inlineStr">
        <is>
          <t>활동 범위(1시간)</t>
        </is>
      </c>
      <c r="D32" s="7" t="inlineStr">
        <is>
          <t>중심에서 가장 먼 점까지 거리(m)</t>
        </is>
      </c>
      <c r="E32" s="6" t="inlineStr">
        <is>
          <t>지유</t>
        </is>
      </c>
    </row>
    <row r="33">
      <c r="A33" s="6" t="inlineStr">
        <is>
          <t>hull_area_m2</t>
        </is>
      </c>
      <c r="B33" s="6" t="inlineStr">
        <is>
          <t>이동량·공간범위</t>
        </is>
      </c>
      <c r="C33" s="6" t="inlineStr">
        <is>
          <t>활동 범위(1시간)</t>
        </is>
      </c>
      <c r="D33" s="7" t="inlineStr">
        <is>
          <t>볼록껍질 면적(m²)</t>
        </is>
      </c>
      <c r="E33" s="6" t="inlineStr">
        <is>
          <t>지유·민성</t>
        </is>
      </c>
    </row>
    <row r="34">
      <c r="A34" s="6" t="inlineStr">
        <is>
          <t>pca_elong</t>
        </is>
      </c>
      <c r="B34" s="6" t="inlineStr">
        <is>
          <t>경로형태·직선투망(B)</t>
        </is>
      </c>
      <c r="C34" s="6" t="inlineStr">
        <is>
          <t>직선 투망 형상</t>
        </is>
      </c>
      <c r="D34" s="7" t="inlineStr">
        <is>
          <t>PCA 연신율 log(1+λ1/λ2): 직선 모양일수록 큼</t>
        </is>
      </c>
      <c r="E34" s="6" t="inlineStr">
        <is>
          <t>가설 B</t>
        </is>
      </c>
    </row>
    <row r="35">
      <c r="A35" s="6" t="inlineStr">
        <is>
          <t>smooth_diag_m</t>
        </is>
      </c>
      <c r="B35" s="6" t="inlineStr">
        <is>
          <t>이동량·공간범위</t>
        </is>
      </c>
      <c r="C35" s="6" t="inlineStr">
        <is>
          <t>활동 범위(1시간)</t>
        </is>
      </c>
      <c r="D35" s="7" t="inlineStr">
        <is>
          <t>평활 경로 범위 대각선(m)</t>
        </is>
      </c>
      <c r="E35" s="6" t="inlineStr">
        <is>
          <t>나연</t>
        </is>
      </c>
    </row>
    <row r="36">
      <c r="A36" s="6" t="inlineStr">
        <is>
          <t>dist_m</t>
        </is>
      </c>
      <c r="B36" s="6" t="inlineStr">
        <is>
          <t>이동량·공간범위</t>
        </is>
      </c>
      <c r="C36" s="6" t="inlineStr">
        <is>
          <t>이동거리</t>
        </is>
      </c>
      <c r="D36" s="7" t="inlineStr">
        <is>
          <t>평활 경로 이동거리(m, 메인 거리)</t>
        </is>
      </c>
      <c r="E36" s="6" t="inlineStr">
        <is>
          <t>나연</t>
        </is>
      </c>
    </row>
    <row r="37">
      <c r="A37" s="6" t="inlineStr">
        <is>
          <t>dist_pts_m</t>
        </is>
      </c>
      <c r="B37" s="6" t="inlineStr">
        <is>
          <t>이동량·공간범위</t>
        </is>
      </c>
      <c r="C37" s="6" t="inlineStr">
        <is>
          <t>이동거리</t>
        </is>
      </c>
      <c r="D37" s="7" t="inlineStr">
        <is>
          <t>점 단위 정제 이동거리(m)</t>
        </is>
      </c>
      <c r="E37" s="6" t="inlineStr">
        <is>
          <t>지유·나연·진우</t>
        </is>
      </c>
    </row>
    <row r="38">
      <c r="A38" s="6" t="inlineStr">
        <is>
          <t>dist_raw_m</t>
        </is>
      </c>
      <c r="B38" s="6" t="inlineStr">
        <is>
          <t>이동량·공간범위</t>
        </is>
      </c>
      <c r="C38" s="6" t="inlineStr">
        <is>
          <t>이동거리</t>
        </is>
      </c>
      <c r="D38" s="7" t="inlineStr">
        <is>
          <t>점 단위 원거리(m)</t>
        </is>
      </c>
      <c r="E38" s="6" t="inlineStr">
        <is>
          <t>지유·나연</t>
        </is>
      </c>
    </row>
    <row r="39">
      <c r="A39" s="6" t="inlineStr">
        <is>
          <t>net_disp_m</t>
        </is>
      </c>
      <c r="B39" s="6" t="inlineStr">
        <is>
          <t>이동량·공간범위</t>
        </is>
      </c>
      <c r="C39" s="6" t="inlineStr">
        <is>
          <t>변위·이격</t>
        </is>
      </c>
      <c r="D39" s="7" t="inlineStr">
        <is>
          <t>시작→끝 직선 변위(m)</t>
        </is>
      </c>
      <c r="E39" s="6" t="inlineStr">
        <is>
          <t>공통</t>
        </is>
      </c>
    </row>
    <row r="40">
      <c r="A40" s="6" t="inlineStr">
        <is>
          <t>max_from_start_m</t>
        </is>
      </c>
      <c r="B40" s="6" t="inlineStr">
        <is>
          <t>이동량·공간범위</t>
        </is>
      </c>
      <c r="C40" s="6" t="inlineStr">
        <is>
          <t>변위·이격</t>
        </is>
      </c>
      <c r="D40" s="7" t="inlineStr">
        <is>
          <t>시작점에서 최대 이격(m)</t>
        </is>
      </c>
      <c r="E40" s="6" t="inlineStr">
        <is>
          <t>나연</t>
        </is>
      </c>
    </row>
    <row r="41">
      <c r="A41" s="6" t="inlineStr">
        <is>
          <t>straightness</t>
        </is>
      </c>
      <c r="B41" s="6" t="inlineStr">
        <is>
          <t>경로형태·직선투망(B)</t>
        </is>
      </c>
      <c r="C41" s="6" t="inlineStr">
        <is>
          <t>직진도·구불거림</t>
        </is>
      </c>
      <c r="D41" s="7" t="inlineStr">
        <is>
          <t>직진도 = 변위/거리 (0~1, 1=일직선)</t>
        </is>
      </c>
      <c r="E41" s="6" t="inlineStr">
        <is>
          <t>공통</t>
        </is>
      </c>
    </row>
    <row r="42">
      <c r="A42" s="6" t="inlineStr">
        <is>
          <t>path_over_diag</t>
        </is>
      </c>
      <c r="B42" s="6" t="inlineStr">
        <is>
          <t>경로형태·직선투망(B)</t>
        </is>
      </c>
      <c r="C42" s="6" t="inlineStr">
        <is>
          <t>경로 반복도</t>
        </is>
      </c>
      <c r="D42" s="7" t="inlineStr">
        <is>
          <t>경로길이/범위 대각선: 같은 곳을 반복할수록 큼</t>
        </is>
      </c>
      <c r="E42" s="6" t="inlineStr">
        <is>
          <t>나연</t>
        </is>
      </c>
    </row>
    <row r="43">
      <c r="A43" s="6" t="inlineStr">
        <is>
          <t>path_over_rg</t>
        </is>
      </c>
      <c r="B43" s="6" t="inlineStr">
        <is>
          <t>경로형태·직선투망(B)</t>
        </is>
      </c>
      <c r="C43" s="6" t="inlineStr">
        <is>
          <t>경로 반복도</t>
        </is>
      </c>
      <c r="D43" s="7" t="inlineStr">
        <is>
          <t>경로길이/회전반경</t>
        </is>
      </c>
      <c r="E43" s="6" t="inlineStr">
        <is>
          <t>나연</t>
        </is>
      </c>
    </row>
    <row r="44">
      <c r="A44" s="6" t="inlineStr">
        <is>
          <t>seg_sinuosity_mean</t>
        </is>
      </c>
      <c r="B44" s="6" t="inlineStr">
        <is>
          <t>경로형태·직선투망(B)</t>
        </is>
      </c>
      <c r="C44" s="6" t="inlineStr">
        <is>
          <t>직진도·구불거림</t>
        </is>
      </c>
      <c r="D44" s="7" t="inlineStr">
        <is>
          <t>구간별 구불거림 평균 (변위 100m 이상 구간)</t>
        </is>
      </c>
      <c r="E44" s="6" t="inlineStr">
        <is>
          <t>지유</t>
        </is>
      </c>
    </row>
    <row r="45">
      <c r="A45" s="6" t="inlineStr">
        <is>
          <t>movement_per_point</t>
        </is>
      </c>
      <c r="B45" s="6" t="inlineStr">
        <is>
          <t>속도 구조(C)</t>
        </is>
      </c>
      <c r="C45" s="6" t="inlineStr">
        <is>
          <t>점 간 step 크기</t>
        </is>
      </c>
      <c r="D45" s="7" t="inlineStr">
        <is>
          <t>점당 이동량(m)</t>
        </is>
      </c>
      <c r="E45" s="6" t="inlineStr">
        <is>
          <t>지유</t>
        </is>
      </c>
    </row>
    <row r="46">
      <c r="A46" s="6" t="inlineStr">
        <is>
          <t>near_zero_disp</t>
        </is>
      </c>
      <c r="B46" s="6" t="inlineStr">
        <is>
          <t>이동량·공간범위</t>
        </is>
      </c>
      <c r="C46" s="6" t="inlineStr">
        <is>
          <t>변위·이격</t>
        </is>
      </c>
      <c r="D46" s="7" t="inlineStr">
        <is>
          <t>변위 50m 미만 여부</t>
        </is>
      </c>
      <c r="E46" s="6" t="inlineStr">
        <is>
          <t>지유</t>
        </is>
      </c>
    </row>
    <row r="47">
      <c r="A47" s="6" t="inlineStr">
        <is>
          <t>step_mean_m</t>
        </is>
      </c>
      <c r="B47" s="6" t="inlineStr">
        <is>
          <t>속도 구조(C)</t>
        </is>
      </c>
      <c r="C47" s="6" t="inlineStr">
        <is>
          <t>점 간 step 크기</t>
        </is>
      </c>
      <c r="D47" s="7" t="inlineStr">
        <is>
          <t>점 간 step 평균(m)</t>
        </is>
      </c>
      <c r="E47" s="6" t="inlineStr">
        <is>
          <t>지유·민성·진우</t>
        </is>
      </c>
    </row>
    <row r="48">
      <c r="A48" s="6" t="inlineStr">
        <is>
          <t>step_med_m</t>
        </is>
      </c>
      <c r="B48" s="6" t="inlineStr">
        <is>
          <t>속도 구조(C)</t>
        </is>
      </c>
      <c r="C48" s="6" t="inlineStr">
        <is>
          <t>점 간 step 크기</t>
        </is>
      </c>
      <c r="D48" s="7" t="inlineStr">
        <is>
          <t>점 간 step 중앙값(m)</t>
        </is>
      </c>
      <c r="E48" s="6" t="inlineStr">
        <is>
          <t>지유</t>
        </is>
      </c>
    </row>
    <row r="49">
      <c r="A49" s="6" t="inlineStr">
        <is>
          <t>step_std_m</t>
        </is>
      </c>
      <c r="B49" s="6" t="inlineStr">
        <is>
          <t>속도 구조(C)</t>
        </is>
      </c>
      <c r="C49" s="6" t="inlineStr">
        <is>
          <t>점 간 step 크기</t>
        </is>
      </c>
      <c r="D49" s="7" t="inlineStr">
        <is>
          <t>점 간 step 표준편차(m)</t>
        </is>
      </c>
      <c r="E49" s="6" t="inlineStr">
        <is>
          <t>지유·진우</t>
        </is>
      </c>
    </row>
    <row r="50">
      <c r="A50" s="6" t="inlineStr">
        <is>
          <t>step_max_m</t>
        </is>
      </c>
      <c r="B50" s="6" t="inlineStr">
        <is>
          <t>속도 구조(C)</t>
        </is>
      </c>
      <c r="C50" s="6" t="inlineStr">
        <is>
          <t>점 간 step 크기</t>
        </is>
      </c>
      <c r="D50" s="7" t="inlineStr">
        <is>
          <t>점 간 step 최대(m)</t>
        </is>
      </c>
      <c r="E50" s="6" t="inlineStr">
        <is>
          <t>지유·진우</t>
        </is>
      </c>
    </row>
    <row r="51">
      <c r="A51" s="6" t="inlineStr">
        <is>
          <t>step_max_raw_m</t>
        </is>
      </c>
      <c r="B51" s="6" t="inlineStr">
        <is>
          <t>속도 구조(C)</t>
        </is>
      </c>
      <c r="C51" s="6" t="inlineStr">
        <is>
          <t>점 간 step 크기</t>
        </is>
      </c>
      <c r="D51" s="7" t="inlineStr">
        <is>
          <t>원본 step 최대(m)</t>
        </is>
      </c>
      <c r="E51" s="6" t="inlineStr">
        <is>
          <t>진우</t>
        </is>
      </c>
    </row>
    <row r="52">
      <c r="A52" s="6" t="inlineStr">
        <is>
          <t>step_cv</t>
        </is>
      </c>
      <c r="B52" s="6" t="inlineStr">
        <is>
          <t>속도 구조(C)</t>
        </is>
      </c>
      <c r="C52" s="6" t="inlineStr">
        <is>
          <t>점 간 step 크기</t>
        </is>
      </c>
      <c r="D52" s="7" t="inlineStr">
        <is>
          <t>step 변동계수: 이동 크기가 들쭉날쭉한 정도</t>
        </is>
      </c>
      <c r="E52" s="6" t="inlineStr">
        <is>
          <t>민성</t>
        </is>
      </c>
    </row>
    <row r="53">
      <c r="A53" s="6" t="inlineStr">
        <is>
          <t>sp_mean</t>
        </is>
      </c>
      <c r="B53" s="6" t="inlineStr">
        <is>
          <t>속도 구조(C)</t>
        </is>
      </c>
      <c r="C53" s="6" t="inlineStr">
        <is>
          <t>10분 구간 속도</t>
        </is>
      </c>
      <c r="D53" s="7" t="inlineStr">
        <is>
          <t>10분 구간 추정속도 평균(kn)</t>
        </is>
      </c>
      <c r="E53" s="6" t="inlineStr">
        <is>
          <t>나연·진우</t>
        </is>
      </c>
    </row>
    <row r="54">
      <c r="A54" s="6" t="inlineStr">
        <is>
          <t>sp_std</t>
        </is>
      </c>
      <c r="B54" s="6" t="inlineStr">
        <is>
          <t>속도 구조(C)</t>
        </is>
      </c>
      <c r="C54" s="6" t="inlineStr">
        <is>
          <t>10분 구간 속도</t>
        </is>
      </c>
      <c r="D54" s="7" t="inlineStr">
        <is>
          <t>10분 속도 표준편차</t>
        </is>
      </c>
      <c r="E54" s="6" t="inlineStr">
        <is>
          <t>나연</t>
        </is>
      </c>
    </row>
    <row r="55">
      <c r="A55" s="6" t="inlineStr">
        <is>
          <t>sp_p50</t>
        </is>
      </c>
      <c r="B55" s="6" t="inlineStr">
        <is>
          <t>속도 구조(C)</t>
        </is>
      </c>
      <c r="C55" s="6" t="inlineStr">
        <is>
          <t>10분 구간 속도</t>
        </is>
      </c>
      <c r="D55" s="7" t="inlineStr">
        <is>
          <t>10분 속도 중앙값</t>
        </is>
      </c>
      <c r="E55" s="6" t="inlineStr">
        <is>
          <t>나연</t>
        </is>
      </c>
    </row>
    <row r="56">
      <c r="A56" s="6" t="inlineStr">
        <is>
          <t>sp_p90</t>
        </is>
      </c>
      <c r="B56" s="6" t="inlineStr">
        <is>
          <t>속도 구조(C)</t>
        </is>
      </c>
      <c r="C56" s="6" t="inlineStr">
        <is>
          <t>10분 구간 속도</t>
        </is>
      </c>
      <c r="D56" s="7" t="inlineStr">
        <is>
          <t>10분 속도 90% 분위</t>
        </is>
      </c>
      <c r="E56" s="6" t="inlineStr">
        <is>
          <t>나연</t>
        </is>
      </c>
    </row>
    <row r="57">
      <c r="A57" s="6" t="inlineStr">
        <is>
          <t>sp_max</t>
        </is>
      </c>
      <c r="B57" s="6" t="inlineStr">
        <is>
          <t>속도 구조(C)</t>
        </is>
      </c>
      <c r="C57" s="6" t="inlineStr">
        <is>
          <t>10분 구간 속도</t>
        </is>
      </c>
      <c r="D57" s="7" t="inlineStr">
        <is>
          <t>10분 속도 최대</t>
        </is>
      </c>
      <c r="E57" s="6" t="inlineStr">
        <is>
          <t>나연</t>
        </is>
      </c>
    </row>
    <row r="58">
      <c r="A58" s="6" t="inlineStr">
        <is>
          <t>sp_change_mean</t>
        </is>
      </c>
      <c r="B58" s="6" t="inlineStr">
        <is>
          <t>속도 구조(C)</t>
        </is>
      </c>
      <c r="C58" s="6" t="inlineStr">
        <is>
          <t>10분 구간 속도</t>
        </is>
      </c>
      <c r="D58" s="7" t="inlineStr">
        <is>
          <t>10분 속도 변화량 평균(가감속)</t>
        </is>
      </c>
      <c r="E58" s="6" t="inlineStr">
        <is>
          <t>나연</t>
        </is>
      </c>
    </row>
    <row r="59">
      <c r="A59" s="6" t="inlineStr">
        <is>
          <t>frac_stop</t>
        </is>
      </c>
      <c r="B59" s="6" t="inlineStr">
        <is>
          <t>속도 구조(C)</t>
        </is>
      </c>
      <c r="C59" s="6" t="inlineStr">
        <is>
          <t>속도 구간 비율</t>
        </is>
      </c>
      <c r="D59" s="7" t="inlineStr">
        <is>
          <t>정지(≤0.5kn) 구간 비율</t>
        </is>
      </c>
      <c r="E59" s="6" t="inlineStr">
        <is>
          <t>나연·진우</t>
        </is>
      </c>
    </row>
    <row r="60">
      <c r="A60" s="6" t="inlineStr">
        <is>
          <t>frac_slow</t>
        </is>
      </c>
      <c r="B60" s="6" t="inlineStr">
        <is>
          <t>속도 구조(C)</t>
        </is>
      </c>
      <c r="C60" s="6" t="inlineStr">
        <is>
          <t>속도 구간 비율</t>
        </is>
      </c>
      <c r="D60" s="7" t="inlineStr">
        <is>
          <t>저속(0.5~3kn) 구간 비율</t>
        </is>
      </c>
      <c r="E60" s="6" t="inlineStr">
        <is>
          <t>나연</t>
        </is>
      </c>
    </row>
    <row r="61">
      <c r="A61" s="6" t="inlineStr">
        <is>
          <t>frac_mid</t>
        </is>
      </c>
      <c r="B61" s="6" t="inlineStr">
        <is>
          <t>속도 구조(C)</t>
        </is>
      </c>
      <c r="C61" s="6" t="inlineStr">
        <is>
          <t>속도 구간 비율</t>
        </is>
      </c>
      <c r="D61" s="7" t="inlineStr">
        <is>
          <t>중속(3~6kn) 구간 비율</t>
        </is>
      </c>
      <c r="E61" s="6" t="inlineStr">
        <is>
          <t>나연</t>
        </is>
      </c>
    </row>
    <row r="62">
      <c r="A62" s="6" t="inlineStr">
        <is>
          <t>frac_fast</t>
        </is>
      </c>
      <c r="B62" s="6" t="inlineStr">
        <is>
          <t>속도 구조(C)</t>
        </is>
      </c>
      <c r="C62" s="6" t="inlineStr">
        <is>
          <t>속도 구간 비율</t>
        </is>
      </c>
      <c r="D62" s="7" t="inlineStr">
        <is>
          <t>고속(&gt;6kn) 구간 비율</t>
        </is>
      </c>
      <c r="E62" s="6" t="inlineStr">
        <is>
          <t>나연</t>
        </is>
      </c>
    </row>
    <row r="63">
      <c r="A63" s="6" t="inlineStr">
        <is>
          <t>n_stop_move_switch</t>
        </is>
      </c>
      <c r="B63" s="6" t="inlineStr">
        <is>
          <t>시간 사용·항차</t>
        </is>
      </c>
      <c r="C63" s="6" t="inlineStr">
        <is>
          <t>상태 전환</t>
        </is>
      </c>
      <c r="D63" s="7" t="inlineStr">
        <is>
          <t>정지↔이동 전환 횟수</t>
        </is>
      </c>
      <c r="E63" s="6" t="inlineStr">
        <is>
          <t>나연</t>
        </is>
      </c>
    </row>
    <row r="64">
      <c r="A64" s="6" t="inlineStr">
        <is>
          <t>n_move_steps</t>
        </is>
      </c>
      <c r="B64" s="6" t="inlineStr">
        <is>
          <t>품질·기록량</t>
        </is>
      </c>
      <c r="C64" s="6" t="inlineStr">
        <is>
          <t>기록량</t>
        </is>
      </c>
      <c r="D64" s="7" t="inlineStr">
        <is>
          <t>10m 이상 이동 step 수</t>
        </is>
      </c>
      <c r="E64" s="6" t="inlineStr">
        <is>
          <t>나연</t>
        </is>
      </c>
    </row>
    <row r="65">
      <c r="A65" s="6" t="inlineStr">
        <is>
          <t>heading_R</t>
        </is>
      </c>
      <c r="B65" s="6" t="inlineStr">
        <is>
          <t>방향·회전(D)</t>
        </is>
      </c>
      <c r="C65" s="6" t="inlineStr">
        <is>
          <t>방향 일관성</t>
        </is>
      </c>
      <c r="D65" s="7" t="inlineStr">
        <is>
          <t>방향 일관성 (1=한 방향, 0=사방)</t>
        </is>
      </c>
      <c r="E65" s="6" t="inlineStr">
        <is>
          <t>진우·나연·민성</t>
        </is>
      </c>
    </row>
    <row r="66">
      <c r="A66" s="6" t="inlineStr">
        <is>
          <t>bearing_std</t>
        </is>
      </c>
      <c r="B66" s="6" t="inlineStr">
        <is>
          <t>방향·회전(D)</t>
        </is>
      </c>
      <c r="C66" s="6" t="inlineStr">
        <is>
          <t>방향 일관성</t>
        </is>
      </c>
      <c r="D66" s="7" t="inlineStr">
        <is>
          <t>진행방향 원형 표준편차(°)</t>
        </is>
      </c>
      <c r="E66" s="6" t="inlineStr">
        <is>
          <t>지유</t>
        </is>
      </c>
    </row>
    <row r="67">
      <c r="A67" s="6" t="inlineStr">
        <is>
          <t>turn_mean</t>
        </is>
      </c>
      <c r="B67" s="6" t="inlineStr">
        <is>
          <t>방향·회전(D)</t>
        </is>
      </c>
      <c r="C67" s="6" t="inlineStr">
        <is>
          <t>회전각</t>
        </is>
      </c>
      <c r="D67" s="7" t="inlineStr">
        <is>
          <t>회전각 평균(°)</t>
        </is>
      </c>
      <c r="E67" s="6" t="inlineStr">
        <is>
          <t>공통</t>
        </is>
      </c>
    </row>
    <row r="68">
      <c r="A68" s="6" t="inlineStr">
        <is>
          <t>turn_std</t>
        </is>
      </c>
      <c r="B68" s="6" t="inlineStr">
        <is>
          <t>방향·회전(D)</t>
        </is>
      </c>
      <c r="C68" s="6" t="inlineStr">
        <is>
          <t>회전각</t>
        </is>
      </c>
      <c r="D68" s="7" t="inlineStr">
        <is>
          <t>회전각 표준편차</t>
        </is>
      </c>
      <c r="E68" s="6" t="inlineStr">
        <is>
          <t>공통</t>
        </is>
      </c>
    </row>
    <row r="69">
      <c r="A69" s="6" t="inlineStr">
        <is>
          <t>turn_max</t>
        </is>
      </c>
      <c r="B69" s="6" t="inlineStr">
        <is>
          <t>방향·회전(D)</t>
        </is>
      </c>
      <c r="C69" s="6" t="inlineStr">
        <is>
          <t>회전각</t>
        </is>
      </c>
      <c r="D69" s="7" t="inlineStr">
        <is>
          <t>최대 회전각</t>
        </is>
      </c>
      <c r="E69" s="6" t="inlineStr">
        <is>
          <t>지유</t>
        </is>
      </c>
    </row>
    <row r="70">
      <c r="A70" s="6" t="inlineStr">
        <is>
          <t>n_turn45</t>
        </is>
      </c>
      <c r="B70" s="6" t="inlineStr">
        <is>
          <t>방향·회전(D)</t>
        </is>
      </c>
      <c r="C70" s="6" t="inlineStr">
        <is>
          <t>급선회·U턴</t>
        </is>
      </c>
      <c r="D70" s="7" t="inlineStr">
        <is>
          <t>45° 초과 회전 수</t>
        </is>
      </c>
      <c r="E70" s="6" t="inlineStr">
        <is>
          <t>나연</t>
        </is>
      </c>
    </row>
    <row r="71">
      <c r="A71" s="6" t="inlineStr">
        <is>
          <t>n_turn90</t>
        </is>
      </c>
      <c r="B71" s="6" t="inlineStr">
        <is>
          <t>방향·회전(D)</t>
        </is>
      </c>
      <c r="C71" s="6" t="inlineStr">
        <is>
          <t>급선회·U턴</t>
        </is>
      </c>
      <c r="D71" s="7" t="inlineStr">
        <is>
          <t>90° 초과 회전 수</t>
        </is>
      </c>
      <c r="E71" s="6" t="inlineStr">
        <is>
          <t>나연·진우</t>
        </is>
      </c>
    </row>
    <row r="72">
      <c r="A72" s="6" t="inlineStr">
        <is>
          <t>n_uturn</t>
        </is>
      </c>
      <c r="B72" s="6" t="inlineStr">
        <is>
          <t>방향·회전(D)</t>
        </is>
      </c>
      <c r="C72" s="6" t="inlineStr">
        <is>
          <t>급선회·U턴</t>
        </is>
      </c>
      <c r="D72" s="7" t="inlineStr">
        <is>
          <t>150° 초과 U턴 수</t>
        </is>
      </c>
      <c r="E72" s="6" t="inlineStr">
        <is>
          <t>나연·민성</t>
        </is>
      </c>
    </row>
    <row r="73">
      <c r="A73" s="6" t="inlineStr">
        <is>
          <t>large_turn_ratio</t>
        </is>
      </c>
      <c r="B73" s="6" t="inlineStr">
        <is>
          <t>방향·회전(D)</t>
        </is>
      </c>
      <c r="C73" s="6" t="inlineStr">
        <is>
          <t>급선회·U턴</t>
        </is>
      </c>
      <c r="D73" s="7" t="inlineStr">
        <is>
          <t>60° 초과 급선회 비율</t>
        </is>
      </c>
      <c r="E73" s="6" t="inlineStr">
        <is>
          <t>지유·민성·진우</t>
        </is>
      </c>
    </row>
    <row r="74">
      <c r="A74" s="6" t="inlineStr">
        <is>
          <t>uturn_ratio</t>
        </is>
      </c>
      <c r="B74" s="6" t="inlineStr">
        <is>
          <t>방향·회전(D)</t>
        </is>
      </c>
      <c r="C74" s="6" t="inlineStr">
        <is>
          <t>급선회·U턴</t>
        </is>
      </c>
      <c r="D74" s="7" t="inlineStr">
        <is>
          <t>U턴 비율</t>
        </is>
      </c>
      <c r="E74" s="6" t="inlineStr">
        <is>
          <t>나연</t>
        </is>
      </c>
    </row>
    <row r="75">
      <c r="A75" s="6" t="inlineStr">
        <is>
          <t>turn90_per_km</t>
        </is>
      </c>
      <c r="B75" s="6" t="inlineStr">
        <is>
          <t>방향·회전(D)</t>
        </is>
      </c>
      <c r="C75" s="6" t="inlineStr">
        <is>
          <t>급선회·U턴</t>
        </is>
      </c>
      <c r="D75" s="7" t="inlineStr">
        <is>
          <t>km당 90° 초과 회전 수</t>
        </is>
      </c>
      <c r="E75" s="6" t="inlineStr">
        <is>
          <t>나연</t>
        </is>
      </c>
    </row>
    <row r="76">
      <c r="A76" s="6" t="inlineStr">
        <is>
          <t>loops</t>
        </is>
      </c>
      <c r="B76" s="6" t="inlineStr">
        <is>
          <t>방향·회전(D)</t>
        </is>
      </c>
      <c r="C76" s="6" t="inlineStr">
        <is>
          <t>루프</t>
        </is>
      </c>
      <c r="D76" s="7" t="inlineStr">
        <is>
          <t>누적 회전/360 = 제자리 맴돈 루프 수</t>
        </is>
      </c>
      <c r="E76" s="6" t="inlineStr">
        <is>
          <t>가설 D</t>
        </is>
      </c>
    </row>
    <row r="77">
      <c r="A77" s="6" t="inlineStr">
        <is>
          <t>ks_speed_mean</t>
        </is>
      </c>
      <c r="B77" s="6" t="inlineStr">
        <is>
          <t>속도 구조(C)</t>
        </is>
      </c>
      <c r="C77" s="6" t="inlineStr">
        <is>
          <t>5-step 강건 속도</t>
        </is>
      </c>
      <c r="D77" s="7" t="inlineStr">
        <is>
          <t>5-step 속도 평균(kn, 지터 강건)</t>
        </is>
      </c>
      <c r="E77" s="6" t="inlineStr">
        <is>
          <t>민성</t>
        </is>
      </c>
    </row>
    <row r="78">
      <c r="A78" s="6" t="inlineStr">
        <is>
          <t>ks_speed_med</t>
        </is>
      </c>
      <c r="B78" s="6" t="inlineStr">
        <is>
          <t>속도 구조(C)</t>
        </is>
      </c>
      <c r="C78" s="6" t="inlineStr">
        <is>
          <t>5-step 강건 속도</t>
        </is>
      </c>
      <c r="D78" s="7" t="inlineStr">
        <is>
          <t>5-step 속도 중앙값(kn)</t>
        </is>
      </c>
      <c r="E78" s="6" t="inlineStr">
        <is>
          <t>민성</t>
        </is>
      </c>
    </row>
    <row r="79">
      <c r="A79" s="6" t="inlineStr">
        <is>
          <t>ks_speed_p90</t>
        </is>
      </c>
      <c r="B79" s="6" t="inlineStr">
        <is>
          <t>속도 구조(C)</t>
        </is>
      </c>
      <c r="C79" s="6" t="inlineStr">
        <is>
          <t>5-step 강건 속도</t>
        </is>
      </c>
      <c r="D79" s="7" t="inlineStr">
        <is>
          <t>5-step 속도 90% 분위</t>
        </is>
      </c>
      <c r="E79" s="6" t="inlineStr">
        <is>
          <t>민성</t>
        </is>
      </c>
    </row>
    <row r="80">
      <c r="A80" s="6" t="inlineStr">
        <is>
          <t>ks_frac_stat</t>
        </is>
      </c>
      <c r="B80" s="6" t="inlineStr">
        <is>
          <t>속도 구조(C)</t>
        </is>
      </c>
      <c r="C80" s="6" t="inlineStr">
        <is>
          <t>5-step 강건 속도</t>
        </is>
      </c>
      <c r="D80" s="7" t="inlineStr">
        <is>
          <t>5-step 정지(&lt;0.3kn) 비율</t>
        </is>
      </c>
      <c r="E80" s="6" t="inlineStr">
        <is>
          <t>민성</t>
        </is>
      </c>
    </row>
    <row r="81">
      <c r="A81" s="6" t="inlineStr">
        <is>
          <t>ks_frac_drift</t>
        </is>
      </c>
      <c r="B81" s="6" t="inlineStr">
        <is>
          <t>속도 구조(C)</t>
        </is>
      </c>
      <c r="C81" s="6" t="inlineStr">
        <is>
          <t>5-step 강건 속도</t>
        </is>
      </c>
      <c r="D81" s="7" t="inlineStr">
        <is>
          <t>5-step 표류(0.3~2kn) 비율</t>
        </is>
      </c>
      <c r="E81" s="6" t="inlineStr">
        <is>
          <t>민성</t>
        </is>
      </c>
    </row>
    <row r="82">
      <c r="A82" s="6" t="inlineStr">
        <is>
          <t>ks_frac_fish</t>
        </is>
      </c>
      <c r="B82" s="6" t="inlineStr">
        <is>
          <t>속도 구조(C)</t>
        </is>
      </c>
      <c r="C82" s="6" t="inlineStr">
        <is>
          <t>5-step 강건 속도</t>
        </is>
      </c>
      <c r="D82" s="7" t="inlineStr">
        <is>
          <t>5-step 조업속도(2~5kn) 비율</t>
        </is>
      </c>
      <c r="E82" s="6" t="inlineStr">
        <is>
          <t>민성</t>
        </is>
      </c>
    </row>
    <row r="83">
      <c r="A83" s="6" t="inlineStr">
        <is>
          <t>ks_frac_transit</t>
        </is>
      </c>
      <c r="B83" s="6" t="inlineStr">
        <is>
          <t>속도 구조(C)</t>
        </is>
      </c>
      <c r="C83" s="6" t="inlineStr">
        <is>
          <t>5-step 강건 속도</t>
        </is>
      </c>
      <c r="D83" s="7" t="inlineStr">
        <is>
          <t>5-step 항해(≥5kn) 비율</t>
        </is>
      </c>
      <c r="E83" s="6" t="inlineStr">
        <is>
          <t>민성</t>
        </is>
      </c>
    </row>
    <row r="84">
      <c r="A84" s="6" t="inlineStr">
        <is>
          <t>ks_heading_R</t>
        </is>
      </c>
      <c r="B84" s="6" t="inlineStr">
        <is>
          <t>방향·회전(D)</t>
        </is>
      </c>
      <c r="C84" s="6" t="inlineStr">
        <is>
          <t>방향 일관성</t>
        </is>
      </c>
      <c r="D84" s="7" t="inlineStr">
        <is>
          <t>5-step 방향 일관성</t>
        </is>
      </c>
      <c r="E84" s="6" t="inlineStr">
        <is>
          <t>민성</t>
        </is>
      </c>
    </row>
    <row r="85">
      <c r="A85" s="6" t="inlineStr">
        <is>
          <t>ks_turn_med</t>
        </is>
      </c>
      <c r="B85" s="6" t="inlineStr">
        <is>
          <t>방향·회전(D)</t>
        </is>
      </c>
      <c r="C85" s="6" t="inlineStr">
        <is>
          <t>회전각</t>
        </is>
      </c>
      <c r="D85" s="7" t="inlineStr">
        <is>
          <t>5-step 회전각 중앙값(°)</t>
        </is>
      </c>
      <c r="E85" s="6" t="inlineStr">
        <is>
          <t>민성</t>
        </is>
      </c>
    </row>
    <row r="86">
      <c r="A86" s="6" t="inlineStr">
        <is>
          <t>ks_straight_max_m</t>
        </is>
      </c>
      <c r="B86" s="6" t="inlineStr">
        <is>
          <t>경로형태·직선투망(B)</t>
        </is>
      </c>
      <c r="C86" s="6" t="inlineStr">
        <is>
          <t>직선 투망 형상</t>
        </is>
      </c>
      <c r="D86" s="7" t="inlineStr">
        <is>
          <t>5-step 최장 직선 이동(m, 회전 15° 미만 연속) = 투망 길이 추정</t>
        </is>
      </c>
      <c r="E86" s="6" t="inlineStr">
        <is>
          <t>민성·가설 B</t>
        </is>
      </c>
    </row>
    <row r="87">
      <c r="A87" s="6" t="inlineStr">
        <is>
          <t>slow_run_max_min</t>
        </is>
      </c>
      <c r="B87" s="6" t="inlineStr">
        <is>
          <t>속도 구조(C)</t>
        </is>
      </c>
      <c r="C87" s="6" t="inlineStr">
        <is>
          <t>저속 연속·속도 다양성</t>
        </is>
      </c>
      <c r="D87" s="7" t="inlineStr">
        <is>
          <t>저속(0.3~2kn) 최장 연속 시간(분) = 양망 추정</t>
        </is>
      </c>
      <c r="E87" s="6" t="inlineStr">
        <is>
          <t>가설 C</t>
        </is>
      </c>
    </row>
    <row r="88">
      <c r="A88" s="6" t="inlineStr">
        <is>
          <t>speed_entropy</t>
        </is>
      </c>
      <c r="B88" s="6" t="inlineStr">
        <is>
          <t>속도 구조(C)</t>
        </is>
      </c>
      <c r="C88" s="6" t="inlineStr">
        <is>
          <t>저속 연속·속도 다양성</t>
        </is>
      </c>
      <c r="D88" s="7" t="inlineStr">
        <is>
          <t>속도 구간 분포 엔트로피: 여러 속도를 섞어 쓸수록 큼</t>
        </is>
      </c>
      <c r="E88" s="6" t="inlineStr">
        <is>
          <t>가설 C</t>
        </is>
      </c>
    </row>
    <row r="89">
      <c r="A89" s="6" t="inlineStr">
        <is>
          <t>n_stays</t>
        </is>
      </c>
      <c r="B89" s="6" t="inlineStr">
        <is>
          <t>체류점</t>
        </is>
      </c>
      <c r="C89" s="6" t="inlineStr">
        <is>
          <t>체류점</t>
        </is>
      </c>
      <c r="D89" s="7" t="inlineStr">
        <is>
          <t>체류점 횟수 (반경 30m 안에 3점 이상 머묾)</t>
        </is>
      </c>
      <c r="E89" s="6" t="inlineStr">
        <is>
          <t>민성</t>
        </is>
      </c>
    </row>
    <row r="90">
      <c r="A90" s="6" t="inlineStr">
        <is>
          <t>stay_frac</t>
        </is>
      </c>
      <c r="B90" s="6" t="inlineStr">
        <is>
          <t>체류점</t>
        </is>
      </c>
      <c r="C90" s="6" t="inlineStr">
        <is>
          <t>체류점</t>
        </is>
      </c>
      <c r="D90" s="7" t="inlineStr">
        <is>
          <t>체류점에 속한 점 비율</t>
        </is>
      </c>
      <c r="E90" s="6" t="inlineStr">
        <is>
          <t>민성</t>
        </is>
      </c>
    </row>
    <row r="91">
      <c r="A91" s="6" t="inlineStr">
        <is>
          <t>spec_entropy</t>
        </is>
      </c>
      <c r="B91" s="6" t="inlineStr">
        <is>
          <t>속도 구조(C)</t>
        </is>
      </c>
      <c r="C91" s="6" t="inlineStr">
        <is>
          <t>이동 리듬(스펙트럼)</t>
        </is>
      </c>
      <c r="D91" s="7" t="inlineStr">
        <is>
          <t>step 길이 스펙트럼 엔트로피: 이동 리듬의 불규칙성</t>
        </is>
      </c>
      <c r="E91" s="6" t="inlineStr">
        <is>
          <t>진우</t>
        </is>
      </c>
    </row>
    <row r="92">
      <c r="A92" s="6" t="inlineStr">
        <is>
          <t>lowfreq_ratio</t>
        </is>
      </c>
      <c r="B92" s="6" t="inlineStr">
        <is>
          <t>속도 구조(C)</t>
        </is>
      </c>
      <c r="C92" s="6" t="inlineStr">
        <is>
          <t>이동 리듬(스펙트럼)</t>
        </is>
      </c>
      <c r="D92" s="7" t="inlineStr">
        <is>
          <t>step 저주파 에너지 비율: 느린 주기 변화의 비중</t>
        </is>
      </c>
      <c r="E92" s="6" t="inlineStr">
        <is>
          <t>진우</t>
        </is>
      </c>
    </row>
    <row r="93">
      <c r="A93" s="6" t="inlineStr">
        <is>
          <t>is_stationary</t>
        </is>
      </c>
      <c r="B93" s="6" t="inlineStr">
        <is>
          <t>시간 사용·항차</t>
        </is>
      </c>
      <c r="C93" s="6" t="inlineStr">
        <is>
          <t>상태별 시간 비율</t>
        </is>
      </c>
      <c r="D93" s="7" t="inlineStr">
        <is>
          <t>정박 여부 (평활 범위 &lt;100m)</t>
        </is>
      </c>
      <c r="E93" s="6" t="inlineStr">
        <is>
          <t>나연</t>
        </is>
      </c>
    </row>
  </sheetData>
  <autoFilter ref="A1:E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2026-10-27T08:36:28Z</dcterms:created>
  <dcterms:modified xmlns:dcterms="http://purl.org/dc/terms/" xmlns:xsi="http://www.w3.org/2001/XMLSchema-instance" xsi:type="dcterms:W3CDTF">2026-10-27T08:36:28Z</dcterms:modified>
</cp:coreProperties>
</file>